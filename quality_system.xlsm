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software_quality_system\"/>
    </mc:Choice>
  </mc:AlternateContent>
  <xr:revisionPtr revIDLastSave="0" documentId="13_ncr:1_{B3D872E0-E6B7-417A-83C1-09530AFDAB78}" xr6:coauthVersionLast="47" xr6:coauthVersionMax="47" xr10:uidLastSave="{00000000-0000-0000-0000-000000000000}"/>
  <bookViews>
    <workbookView xWindow="-120" yWindow="-120" windowWidth="29040" windowHeight="15720" tabRatio="628" firstSheet="1" activeTab="1" xr2:uid="{00000000-000D-0000-FFFF-FFFF00000000}"/>
  </bookViews>
  <sheets>
    <sheet name="usuarios" sheetId="12" state="veryHidden" r:id="rId1"/>
    <sheet name="Linhas" sheetId="2" r:id="rId2"/>
    <sheet name="Fornecedores" sheetId="3" r:id="rId3"/>
    <sheet name="Terceiros" sheetId="4" r:id="rId4"/>
    <sheet name="Dados Linha" sheetId="5" state="veryHidden" r:id="rId5"/>
    <sheet name="Dados Fornecedor" sheetId="7" state="veryHidden" r:id="rId6"/>
    <sheet name="Dados Terceiros" sheetId="8" state="veryHidden" r:id="rId7"/>
    <sheet name="Gráficos Linha" sheetId="6" state="veryHidden" r:id="rId8"/>
    <sheet name="Gráficos Fornecedor" sheetId="9" state="veryHidden" r:id="rId9"/>
    <sheet name="Gráficos Terceiros" sheetId="11" state="veryHidden" r:id="rId10"/>
  </sheets>
  <definedNames>
    <definedName name="_xlnm._FilterDatabase" localSheetId="2" hidden="1">Fornecedores!$A$3:$H$3</definedName>
    <definedName name="_xlnm._FilterDatabase" localSheetId="1" hidden="1">Linhas!$A$3:$H$3</definedName>
    <definedName name="_xlnm._FilterDatabase" localSheetId="3" hidden="1">Terceiros!$A$3:$H$3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2" i="5" l="1"/>
  <c r="AD2" i="5"/>
  <c r="AE2" i="5"/>
  <c r="AF2" i="5"/>
  <c r="AG2" i="5"/>
  <c r="AH2" i="5"/>
  <c r="AI2" i="5"/>
  <c r="AJ2" i="5"/>
  <c r="AK2" i="5"/>
  <c r="AL2" i="5"/>
  <c r="AM2" i="5"/>
  <c r="AN2" i="5"/>
  <c r="C22" i="5"/>
  <c r="D22" i="5" s="1"/>
  <c r="E22" i="5"/>
  <c r="F22" i="5" s="1"/>
  <c r="G22" i="5"/>
  <c r="H22" i="5" s="1"/>
  <c r="I22" i="5"/>
  <c r="J22" i="5" s="1"/>
  <c r="K22" i="5"/>
  <c r="L22" i="5" s="1"/>
  <c r="M22" i="5"/>
  <c r="N22" i="5" s="1"/>
  <c r="O22" i="5"/>
  <c r="P22" i="5" s="1"/>
  <c r="Q22" i="5"/>
  <c r="R22" i="5" s="1"/>
  <c r="S22" i="5"/>
  <c r="T22" i="5" s="1"/>
  <c r="U22" i="5"/>
  <c r="V22" i="5" s="1"/>
  <c r="W22" i="5"/>
  <c r="X22" i="5" s="1"/>
  <c r="Y22" i="5"/>
  <c r="Z22" i="5" s="1"/>
  <c r="AN2" i="8"/>
  <c r="AM2" i="8"/>
  <c r="AL2" i="8"/>
  <c r="AK2" i="8"/>
  <c r="AJ2" i="8"/>
  <c r="AI2" i="8"/>
  <c r="AH2" i="8"/>
  <c r="AG2" i="8"/>
  <c r="AF2" i="8"/>
  <c r="AE2" i="8"/>
  <c r="AD2" i="8"/>
  <c r="AC2" i="8"/>
  <c r="AN2" i="7"/>
  <c r="AM2" i="7"/>
  <c r="AL2" i="7"/>
  <c r="AK2" i="7"/>
  <c r="AJ2" i="7"/>
  <c r="AI2" i="7"/>
  <c r="AH2" i="7"/>
  <c r="AG2" i="7"/>
  <c r="AF2" i="7"/>
  <c r="AE2" i="7"/>
  <c r="AD2" i="7"/>
  <c r="AC2" i="7"/>
  <c r="Y3" i="7"/>
  <c r="Z3" i="7" s="1"/>
  <c r="Y4" i="7"/>
  <c r="Z4" i="7" s="1"/>
  <c r="Y5" i="7"/>
  <c r="Z5" i="7" s="1"/>
  <c r="Y6" i="7"/>
  <c r="Z6" i="7" s="1"/>
  <c r="Y7" i="7"/>
  <c r="Z7" i="7" s="1"/>
  <c r="Y8" i="7"/>
  <c r="Z8" i="7" s="1"/>
  <c r="Y9" i="7"/>
  <c r="Z9" i="7" s="1"/>
  <c r="Y10" i="7"/>
  <c r="Z10" i="7" s="1"/>
  <c r="Y11" i="7"/>
  <c r="Z11" i="7" s="1"/>
  <c r="Y12" i="7"/>
  <c r="Z12" i="7" s="1"/>
  <c r="Y13" i="7"/>
  <c r="Z13" i="7" s="1"/>
  <c r="Y14" i="7"/>
  <c r="Z14" i="7" s="1"/>
  <c r="Y15" i="7"/>
  <c r="Z15" i="7" s="1"/>
  <c r="Y16" i="7"/>
  <c r="Z16" i="7" s="1"/>
  <c r="Y17" i="7"/>
  <c r="Z17" i="7" s="1"/>
  <c r="Y18" i="7"/>
  <c r="Z18" i="7" s="1"/>
  <c r="Y19" i="7"/>
  <c r="Z19" i="7" s="1"/>
  <c r="Y20" i="7"/>
  <c r="Z20" i="7" s="1"/>
  <c r="Y21" i="7"/>
  <c r="Z21" i="7" s="1"/>
  <c r="Y22" i="7"/>
  <c r="Z22" i="7" s="1"/>
  <c r="W3" i="7"/>
  <c r="W4" i="7"/>
  <c r="X4" i="7" s="1"/>
  <c r="W5" i="7"/>
  <c r="W6" i="7"/>
  <c r="X6" i="7" s="1"/>
  <c r="W7" i="7"/>
  <c r="X7" i="7" s="1"/>
  <c r="W8" i="7"/>
  <c r="X8" i="7" s="1"/>
  <c r="W9" i="7"/>
  <c r="X9" i="7" s="1"/>
  <c r="W10" i="7"/>
  <c r="X10" i="7" s="1"/>
  <c r="W11" i="7"/>
  <c r="X11" i="7" s="1"/>
  <c r="W12" i="7"/>
  <c r="X12" i="7" s="1"/>
  <c r="W13" i="7"/>
  <c r="X13" i="7" s="1"/>
  <c r="W14" i="7"/>
  <c r="X14" i="7" s="1"/>
  <c r="W15" i="7"/>
  <c r="X15" i="7" s="1"/>
  <c r="W16" i="7"/>
  <c r="X16" i="7" s="1"/>
  <c r="W17" i="7"/>
  <c r="X17" i="7" s="1"/>
  <c r="W18" i="7"/>
  <c r="X18" i="7" s="1"/>
  <c r="W19" i="7"/>
  <c r="X19" i="7" s="1"/>
  <c r="W20" i="7"/>
  <c r="X20" i="7" s="1"/>
  <c r="W21" i="7"/>
  <c r="X21" i="7" s="1"/>
  <c r="W22" i="7"/>
  <c r="X22" i="7" s="1"/>
  <c r="U3" i="7"/>
  <c r="U4" i="7"/>
  <c r="U5" i="7"/>
  <c r="V5" i="7" s="1"/>
  <c r="U6" i="7"/>
  <c r="U7" i="7"/>
  <c r="U8" i="7"/>
  <c r="U9" i="7"/>
  <c r="V9" i="7" s="1"/>
  <c r="U10" i="7"/>
  <c r="U11" i="7"/>
  <c r="U12" i="7"/>
  <c r="U13" i="7"/>
  <c r="V13" i="7" s="1"/>
  <c r="U14" i="7"/>
  <c r="U15" i="7"/>
  <c r="U16" i="7"/>
  <c r="U17" i="7"/>
  <c r="V17" i="7" s="1"/>
  <c r="U18" i="7"/>
  <c r="U19" i="7"/>
  <c r="U20" i="7"/>
  <c r="U21" i="7"/>
  <c r="V21" i="7" s="1"/>
  <c r="U22" i="7"/>
  <c r="S3" i="7"/>
  <c r="S4" i="7"/>
  <c r="S5" i="7"/>
  <c r="S6" i="7"/>
  <c r="T6" i="7" s="1"/>
  <c r="S7" i="7"/>
  <c r="S8" i="7"/>
  <c r="S9" i="7"/>
  <c r="S10" i="7"/>
  <c r="T10" i="7" s="1"/>
  <c r="S11" i="7"/>
  <c r="S12" i="7"/>
  <c r="S13" i="7"/>
  <c r="S14" i="7"/>
  <c r="T14" i="7" s="1"/>
  <c r="S15" i="7"/>
  <c r="S16" i="7"/>
  <c r="S17" i="7"/>
  <c r="S18" i="7"/>
  <c r="T18" i="7" s="1"/>
  <c r="S19" i="7"/>
  <c r="S20" i="7"/>
  <c r="S21" i="7"/>
  <c r="S22" i="7"/>
  <c r="T22" i="7" s="1"/>
  <c r="Q3" i="7"/>
  <c r="R3" i="7" s="1"/>
  <c r="Q4" i="7"/>
  <c r="R4" i="7" s="1"/>
  <c r="Q5" i="7"/>
  <c r="R5" i="7" s="1"/>
  <c r="Q6" i="7"/>
  <c r="R6" i="7" s="1"/>
  <c r="Q7" i="7"/>
  <c r="R7" i="7" s="1"/>
  <c r="Q8" i="7"/>
  <c r="R8" i="7" s="1"/>
  <c r="Q9" i="7"/>
  <c r="R9" i="7" s="1"/>
  <c r="Q10" i="7"/>
  <c r="R10" i="7" s="1"/>
  <c r="Q11" i="7"/>
  <c r="R11" i="7" s="1"/>
  <c r="Q12" i="7"/>
  <c r="R12" i="7" s="1"/>
  <c r="Q13" i="7"/>
  <c r="R13" i="7" s="1"/>
  <c r="Q14" i="7"/>
  <c r="R14" i="7" s="1"/>
  <c r="Q15" i="7"/>
  <c r="R15" i="7" s="1"/>
  <c r="Q16" i="7"/>
  <c r="R16" i="7" s="1"/>
  <c r="Q17" i="7"/>
  <c r="R17" i="7" s="1"/>
  <c r="Q18" i="7"/>
  <c r="R18" i="7" s="1"/>
  <c r="Q19" i="7"/>
  <c r="R19" i="7" s="1"/>
  <c r="Q20" i="7"/>
  <c r="R20" i="7" s="1"/>
  <c r="Q21" i="7"/>
  <c r="R21" i="7" s="1"/>
  <c r="Q22" i="7"/>
  <c r="R22" i="7" s="1"/>
  <c r="O3" i="7"/>
  <c r="P3" i="7" s="1"/>
  <c r="O4" i="7"/>
  <c r="P4" i="7" s="1"/>
  <c r="O5" i="7"/>
  <c r="P5" i="7" s="1"/>
  <c r="O6" i="7"/>
  <c r="P6" i="7" s="1"/>
  <c r="O7" i="7"/>
  <c r="P7" i="7" s="1"/>
  <c r="O8" i="7"/>
  <c r="P8" i="7" s="1"/>
  <c r="O9" i="7"/>
  <c r="P9" i="7" s="1"/>
  <c r="O10" i="7"/>
  <c r="P10" i="7" s="1"/>
  <c r="O11" i="7"/>
  <c r="P11" i="7" s="1"/>
  <c r="O12" i="7"/>
  <c r="P12" i="7" s="1"/>
  <c r="O13" i="7"/>
  <c r="P13" i="7" s="1"/>
  <c r="O14" i="7"/>
  <c r="P14" i="7" s="1"/>
  <c r="O15" i="7"/>
  <c r="P15" i="7" s="1"/>
  <c r="O16" i="7"/>
  <c r="P16" i="7" s="1"/>
  <c r="O17" i="7"/>
  <c r="P17" i="7" s="1"/>
  <c r="O18" i="7"/>
  <c r="P18" i="7" s="1"/>
  <c r="O19" i="7"/>
  <c r="P19" i="7" s="1"/>
  <c r="O20" i="7"/>
  <c r="P20" i="7" s="1"/>
  <c r="O21" i="7"/>
  <c r="P21" i="7" s="1"/>
  <c r="O22" i="7"/>
  <c r="P22" i="7" s="1"/>
  <c r="M3" i="7"/>
  <c r="M4" i="7"/>
  <c r="M5" i="7"/>
  <c r="N5" i="7" s="1"/>
  <c r="M6" i="7"/>
  <c r="M7" i="7"/>
  <c r="M8" i="7"/>
  <c r="M9" i="7"/>
  <c r="N9" i="7" s="1"/>
  <c r="M10" i="7"/>
  <c r="M11" i="7"/>
  <c r="M12" i="7"/>
  <c r="M13" i="7"/>
  <c r="N13" i="7" s="1"/>
  <c r="M14" i="7"/>
  <c r="M15" i="7"/>
  <c r="M16" i="7"/>
  <c r="M17" i="7"/>
  <c r="N17" i="7" s="1"/>
  <c r="M18" i="7"/>
  <c r="M19" i="7"/>
  <c r="M20" i="7"/>
  <c r="M21" i="7"/>
  <c r="N21" i="7" s="1"/>
  <c r="M22" i="7"/>
  <c r="K3" i="7"/>
  <c r="K4" i="7"/>
  <c r="K5" i="7"/>
  <c r="K6" i="7"/>
  <c r="L6" i="7" s="1"/>
  <c r="K7" i="7"/>
  <c r="K8" i="7"/>
  <c r="K9" i="7"/>
  <c r="K10" i="7"/>
  <c r="L10" i="7" s="1"/>
  <c r="K11" i="7"/>
  <c r="K12" i="7"/>
  <c r="K13" i="7"/>
  <c r="K14" i="7"/>
  <c r="L14" i="7" s="1"/>
  <c r="K15" i="7"/>
  <c r="K16" i="7"/>
  <c r="K17" i="7"/>
  <c r="K18" i="7"/>
  <c r="L18" i="7" s="1"/>
  <c r="K19" i="7"/>
  <c r="K20" i="7"/>
  <c r="K21" i="7"/>
  <c r="K22" i="7"/>
  <c r="L22" i="7" s="1"/>
  <c r="I3" i="7"/>
  <c r="J3" i="7" s="1"/>
  <c r="I4" i="7"/>
  <c r="J4" i="7" s="1"/>
  <c r="I5" i="7"/>
  <c r="J5" i="7" s="1"/>
  <c r="I6" i="7"/>
  <c r="J6" i="7" s="1"/>
  <c r="I7" i="7"/>
  <c r="J7" i="7" s="1"/>
  <c r="I8" i="7"/>
  <c r="J8" i="7" s="1"/>
  <c r="I9" i="7"/>
  <c r="J9" i="7" s="1"/>
  <c r="I10" i="7"/>
  <c r="J10" i="7" s="1"/>
  <c r="I11" i="7"/>
  <c r="J11" i="7" s="1"/>
  <c r="I12" i="7"/>
  <c r="J12" i="7" s="1"/>
  <c r="I13" i="7"/>
  <c r="J13" i="7" s="1"/>
  <c r="I14" i="7"/>
  <c r="J14" i="7" s="1"/>
  <c r="I15" i="7"/>
  <c r="J15" i="7" s="1"/>
  <c r="I16" i="7"/>
  <c r="J16" i="7" s="1"/>
  <c r="I17" i="7"/>
  <c r="J17" i="7" s="1"/>
  <c r="I18" i="7"/>
  <c r="J18" i="7" s="1"/>
  <c r="I19" i="7"/>
  <c r="J19" i="7" s="1"/>
  <c r="I20" i="7"/>
  <c r="J20" i="7" s="1"/>
  <c r="I21" i="7"/>
  <c r="J21" i="7" s="1"/>
  <c r="I22" i="7"/>
  <c r="J22" i="7" s="1"/>
  <c r="G3" i="7"/>
  <c r="H3" i="7" s="1"/>
  <c r="G4" i="7"/>
  <c r="H4" i="7" s="1"/>
  <c r="G5" i="7"/>
  <c r="H5" i="7" s="1"/>
  <c r="G6" i="7"/>
  <c r="H6" i="7" s="1"/>
  <c r="G7" i="7"/>
  <c r="H7" i="7" s="1"/>
  <c r="G8" i="7"/>
  <c r="H8" i="7" s="1"/>
  <c r="G9" i="7"/>
  <c r="H9" i="7" s="1"/>
  <c r="G10" i="7"/>
  <c r="H10" i="7" s="1"/>
  <c r="G11" i="7"/>
  <c r="H11" i="7" s="1"/>
  <c r="G12" i="7"/>
  <c r="H12" i="7" s="1"/>
  <c r="G13" i="7"/>
  <c r="H13" i="7" s="1"/>
  <c r="G14" i="7"/>
  <c r="H14" i="7" s="1"/>
  <c r="G15" i="7"/>
  <c r="H15" i="7" s="1"/>
  <c r="G16" i="7"/>
  <c r="H16" i="7" s="1"/>
  <c r="G17" i="7"/>
  <c r="H17" i="7" s="1"/>
  <c r="G18" i="7"/>
  <c r="H18" i="7" s="1"/>
  <c r="G19" i="7"/>
  <c r="H19" i="7" s="1"/>
  <c r="G20" i="7"/>
  <c r="H20" i="7" s="1"/>
  <c r="G21" i="7"/>
  <c r="H21" i="7" s="1"/>
  <c r="G22" i="7"/>
  <c r="H22" i="7" s="1"/>
  <c r="E3" i="7"/>
  <c r="E4" i="7"/>
  <c r="E5" i="7"/>
  <c r="F5" i="7" s="1"/>
  <c r="E6" i="7"/>
  <c r="E7" i="7"/>
  <c r="E8" i="7"/>
  <c r="E9" i="7"/>
  <c r="F9" i="7" s="1"/>
  <c r="E10" i="7"/>
  <c r="E11" i="7"/>
  <c r="E12" i="7"/>
  <c r="E13" i="7"/>
  <c r="F13" i="7" s="1"/>
  <c r="E14" i="7"/>
  <c r="E15" i="7"/>
  <c r="E16" i="7"/>
  <c r="E17" i="7"/>
  <c r="F17" i="7" s="1"/>
  <c r="E18" i="7"/>
  <c r="E19" i="7"/>
  <c r="E20" i="7"/>
  <c r="E21" i="7"/>
  <c r="F21" i="7" s="1"/>
  <c r="E22" i="7"/>
  <c r="C3" i="7"/>
  <c r="C4" i="7"/>
  <c r="C5" i="7"/>
  <c r="C6" i="7"/>
  <c r="D6" i="7" s="1"/>
  <c r="C7" i="7"/>
  <c r="C8" i="7"/>
  <c r="C9" i="7"/>
  <c r="C10" i="7"/>
  <c r="D10" i="7" s="1"/>
  <c r="C11" i="7"/>
  <c r="C12" i="7"/>
  <c r="C13" i="7"/>
  <c r="C14" i="7"/>
  <c r="D14" i="7" s="1"/>
  <c r="C15" i="7"/>
  <c r="C16" i="7"/>
  <c r="C17" i="7"/>
  <c r="C18" i="7"/>
  <c r="D18" i="7" s="1"/>
  <c r="C19" i="7"/>
  <c r="C20" i="7"/>
  <c r="C21" i="7"/>
  <c r="C22" i="7"/>
  <c r="D22" i="7" s="1"/>
  <c r="Y2" i="7"/>
  <c r="Z2" i="7" s="1"/>
  <c r="W2" i="7"/>
  <c r="X2" i="7" s="1"/>
  <c r="U2" i="7"/>
  <c r="V2" i="7" s="1"/>
  <c r="S2" i="7"/>
  <c r="T2" i="7" s="1"/>
  <c r="Q2" i="7"/>
  <c r="R2" i="7" s="1"/>
  <c r="O2" i="7"/>
  <c r="P2" i="7" s="1"/>
  <c r="M2" i="7"/>
  <c r="N2" i="7" s="1"/>
  <c r="K2" i="7"/>
  <c r="L2" i="7" s="1"/>
  <c r="I2" i="7"/>
  <c r="J2" i="7" s="1"/>
  <c r="G2" i="7"/>
  <c r="H2" i="7" s="1"/>
  <c r="E2" i="7"/>
  <c r="F2" i="7" s="1"/>
  <c r="C2" i="7"/>
  <c r="D2" i="7" s="1"/>
  <c r="C2" i="8"/>
  <c r="Y22" i="8"/>
  <c r="Y3" i="8"/>
  <c r="Z3" i="8" s="1"/>
  <c r="Y4" i="8"/>
  <c r="Z4" i="8" s="1"/>
  <c r="Y5" i="8"/>
  <c r="Z5" i="8" s="1"/>
  <c r="Y6" i="8"/>
  <c r="Z6" i="8" s="1"/>
  <c r="Y7" i="8"/>
  <c r="Z7" i="8" s="1"/>
  <c r="Y8" i="8"/>
  <c r="Z8" i="8" s="1"/>
  <c r="Y9" i="8"/>
  <c r="Z9" i="8" s="1"/>
  <c r="Y10" i="8"/>
  <c r="Z10" i="8" s="1"/>
  <c r="Y11" i="8"/>
  <c r="Z11" i="8" s="1"/>
  <c r="Y12" i="8"/>
  <c r="Z12" i="8" s="1"/>
  <c r="Y13" i="8"/>
  <c r="Z13" i="8" s="1"/>
  <c r="Y14" i="8"/>
  <c r="Z14" i="8" s="1"/>
  <c r="Y15" i="8"/>
  <c r="Z15" i="8" s="1"/>
  <c r="Y16" i="8"/>
  <c r="Z16" i="8" s="1"/>
  <c r="Y17" i="8"/>
  <c r="Z17" i="8" s="1"/>
  <c r="Y18" i="8"/>
  <c r="Z18" i="8" s="1"/>
  <c r="Y19" i="8"/>
  <c r="Z19" i="8" s="1"/>
  <c r="Y20" i="8"/>
  <c r="Z20" i="8" s="1"/>
  <c r="Y21" i="8"/>
  <c r="Z21" i="8" s="1"/>
  <c r="W3" i="8"/>
  <c r="X3" i="8" s="1"/>
  <c r="W4" i="8"/>
  <c r="W5" i="8"/>
  <c r="W6" i="8"/>
  <c r="W7" i="8"/>
  <c r="X7" i="8" s="1"/>
  <c r="W8" i="8"/>
  <c r="W9" i="8"/>
  <c r="X9" i="8" s="1"/>
  <c r="W10" i="8"/>
  <c r="W11" i="8"/>
  <c r="X11" i="8" s="1"/>
  <c r="W12" i="8"/>
  <c r="W13" i="8"/>
  <c r="X13" i="8" s="1"/>
  <c r="W14" i="8"/>
  <c r="W15" i="8"/>
  <c r="X15" i="8" s="1"/>
  <c r="W16" i="8"/>
  <c r="W17" i="8"/>
  <c r="X17" i="8" s="1"/>
  <c r="W18" i="8"/>
  <c r="W19" i="8"/>
  <c r="X19" i="8" s="1"/>
  <c r="W20" i="8"/>
  <c r="W21" i="8"/>
  <c r="X21" i="8" s="1"/>
  <c r="W22" i="8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S3" i="8"/>
  <c r="S4" i="8"/>
  <c r="S5" i="8"/>
  <c r="T5" i="8" s="1"/>
  <c r="S6" i="8"/>
  <c r="S7" i="8"/>
  <c r="S8" i="8"/>
  <c r="S9" i="8"/>
  <c r="T9" i="8" s="1"/>
  <c r="S10" i="8"/>
  <c r="S11" i="8"/>
  <c r="S12" i="8"/>
  <c r="S13" i="8"/>
  <c r="T13" i="8" s="1"/>
  <c r="S14" i="8"/>
  <c r="S15" i="8"/>
  <c r="S16" i="8"/>
  <c r="S17" i="8"/>
  <c r="T17" i="8" s="1"/>
  <c r="S18" i="8"/>
  <c r="S19" i="8"/>
  <c r="S20" i="8"/>
  <c r="S21" i="8"/>
  <c r="T21" i="8" s="1"/>
  <c r="S22" i="8"/>
  <c r="Q3" i="8"/>
  <c r="R3" i="8" s="1"/>
  <c r="Q4" i="8"/>
  <c r="R4" i="8" s="1"/>
  <c r="Q5" i="8"/>
  <c r="R5" i="8" s="1"/>
  <c r="Q6" i="8"/>
  <c r="R6" i="8" s="1"/>
  <c r="Q7" i="8"/>
  <c r="R7" i="8" s="1"/>
  <c r="Q8" i="8"/>
  <c r="R8" i="8" s="1"/>
  <c r="Q9" i="8"/>
  <c r="R9" i="8" s="1"/>
  <c r="Q10" i="8"/>
  <c r="R10" i="8" s="1"/>
  <c r="Q11" i="8"/>
  <c r="R11" i="8" s="1"/>
  <c r="Q12" i="8"/>
  <c r="R12" i="8" s="1"/>
  <c r="Q13" i="8"/>
  <c r="R13" i="8" s="1"/>
  <c r="Q14" i="8"/>
  <c r="R14" i="8" s="1"/>
  <c r="Q15" i="8"/>
  <c r="R15" i="8" s="1"/>
  <c r="Q16" i="8"/>
  <c r="R16" i="8" s="1"/>
  <c r="Q17" i="8"/>
  <c r="R17" i="8" s="1"/>
  <c r="Q18" i="8"/>
  <c r="R18" i="8" s="1"/>
  <c r="Q19" i="8"/>
  <c r="R19" i="8" s="1"/>
  <c r="Q20" i="8"/>
  <c r="R20" i="8" s="1"/>
  <c r="Q21" i="8"/>
  <c r="R21" i="8" s="1"/>
  <c r="Q22" i="8"/>
  <c r="R22" i="8" s="1"/>
  <c r="K3" i="8"/>
  <c r="K4" i="8"/>
  <c r="K5" i="8"/>
  <c r="L5" i="8" s="1"/>
  <c r="K6" i="8"/>
  <c r="K7" i="8"/>
  <c r="K8" i="8"/>
  <c r="K9" i="8"/>
  <c r="L9" i="8" s="1"/>
  <c r="K10" i="8"/>
  <c r="K11" i="8"/>
  <c r="K12" i="8"/>
  <c r="K13" i="8"/>
  <c r="K14" i="8"/>
  <c r="K15" i="8"/>
  <c r="K16" i="8"/>
  <c r="K17" i="8"/>
  <c r="L17" i="8" s="1"/>
  <c r="K18" i="8"/>
  <c r="K19" i="8"/>
  <c r="K20" i="8"/>
  <c r="K21" i="8"/>
  <c r="L21" i="8" s="1"/>
  <c r="K22" i="8"/>
  <c r="M3" i="8"/>
  <c r="M4" i="8"/>
  <c r="M5" i="8"/>
  <c r="M6" i="8"/>
  <c r="M7" i="8"/>
  <c r="M8" i="8"/>
  <c r="N8" i="8" s="1"/>
  <c r="M9" i="8"/>
  <c r="M10" i="8"/>
  <c r="M11" i="8"/>
  <c r="M12" i="8"/>
  <c r="N12" i="8" s="1"/>
  <c r="M13" i="8"/>
  <c r="M14" i="8"/>
  <c r="M15" i="8"/>
  <c r="M16" i="8"/>
  <c r="M17" i="8"/>
  <c r="M18" i="8"/>
  <c r="M19" i="8"/>
  <c r="M20" i="8"/>
  <c r="N20" i="8" s="1"/>
  <c r="M21" i="8"/>
  <c r="M22" i="8"/>
  <c r="I3" i="8"/>
  <c r="J3" i="8" s="1"/>
  <c r="I4" i="8"/>
  <c r="J4" i="8" s="1"/>
  <c r="I5" i="8"/>
  <c r="J5" i="8" s="1"/>
  <c r="I6" i="8"/>
  <c r="I7" i="8"/>
  <c r="I8" i="8"/>
  <c r="I9" i="8"/>
  <c r="I10" i="8"/>
  <c r="I11" i="8"/>
  <c r="I12" i="8"/>
  <c r="I13" i="8"/>
  <c r="I14" i="8"/>
  <c r="J14" i="8" s="1"/>
  <c r="I15" i="8"/>
  <c r="J15" i="8" s="1"/>
  <c r="I16" i="8"/>
  <c r="J16" i="8" s="1"/>
  <c r="I17" i="8"/>
  <c r="J17" i="8" s="1"/>
  <c r="I18" i="8"/>
  <c r="I19" i="8"/>
  <c r="I20" i="8"/>
  <c r="I21" i="8"/>
  <c r="I22" i="8"/>
  <c r="G3" i="8"/>
  <c r="G4" i="8"/>
  <c r="G5" i="8"/>
  <c r="G6" i="8"/>
  <c r="G7" i="8"/>
  <c r="H7" i="8" s="1"/>
  <c r="G8" i="8"/>
  <c r="H8" i="8" s="1"/>
  <c r="G9" i="8"/>
  <c r="H9" i="8" s="1"/>
  <c r="G10" i="8"/>
  <c r="G11" i="8"/>
  <c r="G12" i="8"/>
  <c r="G13" i="8"/>
  <c r="G14" i="8"/>
  <c r="G15" i="8"/>
  <c r="G16" i="8"/>
  <c r="G17" i="8"/>
  <c r="G18" i="8"/>
  <c r="G19" i="8"/>
  <c r="H19" i="8" s="1"/>
  <c r="G20" i="8"/>
  <c r="H20" i="8" s="1"/>
  <c r="G21" i="8"/>
  <c r="H21" i="8" s="1"/>
  <c r="G22" i="8"/>
  <c r="E3" i="8"/>
  <c r="E4" i="8"/>
  <c r="F4" i="8" s="1"/>
  <c r="E5" i="8"/>
  <c r="E6" i="8"/>
  <c r="E7" i="8"/>
  <c r="E8" i="8"/>
  <c r="F8" i="8" s="1"/>
  <c r="E9" i="8"/>
  <c r="E10" i="8"/>
  <c r="E11" i="8"/>
  <c r="E12" i="8"/>
  <c r="F12" i="8" s="1"/>
  <c r="E13" i="8"/>
  <c r="E14" i="8"/>
  <c r="E15" i="8"/>
  <c r="E16" i="8"/>
  <c r="F16" i="8" s="1"/>
  <c r="E17" i="8"/>
  <c r="E18" i="8"/>
  <c r="E19" i="8"/>
  <c r="E20" i="8"/>
  <c r="F20" i="8" s="1"/>
  <c r="E21" i="8"/>
  <c r="E22" i="8"/>
  <c r="C3" i="8"/>
  <c r="C4" i="8"/>
  <c r="C5" i="8"/>
  <c r="D5" i="8" s="1"/>
  <c r="C6" i="8"/>
  <c r="C7" i="8"/>
  <c r="C8" i="8"/>
  <c r="C9" i="8"/>
  <c r="C10" i="8"/>
  <c r="C11" i="8"/>
  <c r="C12" i="8"/>
  <c r="C13" i="8"/>
  <c r="C14" i="8"/>
  <c r="C15" i="8"/>
  <c r="C16" i="8"/>
  <c r="C17" i="8"/>
  <c r="D17" i="8" s="1"/>
  <c r="C18" i="8"/>
  <c r="C19" i="8"/>
  <c r="C20" i="8"/>
  <c r="C21" i="8"/>
  <c r="C22" i="8"/>
  <c r="Y2" i="8"/>
  <c r="Z2" i="8" s="1"/>
  <c r="W2" i="8"/>
  <c r="X2" i="8" s="1"/>
  <c r="U2" i="8"/>
  <c r="Q2" i="8"/>
  <c r="R2" i="8" s="1"/>
  <c r="S2" i="8"/>
  <c r="M2" i="8"/>
  <c r="N2" i="8" s="1"/>
  <c r="K2" i="8"/>
  <c r="L2" i="8" s="1"/>
  <c r="I2" i="8"/>
  <c r="G2" i="8"/>
  <c r="E2" i="8"/>
  <c r="F2" i="8" s="1"/>
  <c r="O3" i="8"/>
  <c r="P3" i="8" s="1"/>
  <c r="O4" i="8"/>
  <c r="P4" i="8" s="1"/>
  <c r="O5" i="8"/>
  <c r="P5" i="8" s="1"/>
  <c r="O6" i="8"/>
  <c r="P6" i="8" s="1"/>
  <c r="O7" i="8"/>
  <c r="P7" i="8" s="1"/>
  <c r="O8" i="8"/>
  <c r="P8" i="8" s="1"/>
  <c r="O9" i="8"/>
  <c r="P9" i="8" s="1"/>
  <c r="O10" i="8"/>
  <c r="P10" i="8" s="1"/>
  <c r="O11" i="8"/>
  <c r="P11" i="8" s="1"/>
  <c r="O12" i="8"/>
  <c r="P12" i="8" s="1"/>
  <c r="O13" i="8"/>
  <c r="P13" i="8" s="1"/>
  <c r="O14" i="8"/>
  <c r="P14" i="8" s="1"/>
  <c r="O15" i="8"/>
  <c r="P15" i="8" s="1"/>
  <c r="O16" i="8"/>
  <c r="P16" i="8" s="1"/>
  <c r="O17" i="8"/>
  <c r="P17" i="8" s="1"/>
  <c r="O18" i="8"/>
  <c r="P18" i="8" s="1"/>
  <c r="O19" i="8"/>
  <c r="P19" i="8" s="1"/>
  <c r="O20" i="8"/>
  <c r="P20" i="8" s="1"/>
  <c r="O21" i="8"/>
  <c r="P21" i="8" s="1"/>
  <c r="O22" i="8"/>
  <c r="P22" i="8" s="1"/>
  <c r="O2" i="8"/>
  <c r="P2" i="8" s="1"/>
  <c r="Y2" i="5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H4" i="8" l="1"/>
  <c r="H3" i="8"/>
  <c r="H14" i="8"/>
  <c r="J22" i="8"/>
  <c r="J10" i="8"/>
  <c r="J13" i="8"/>
  <c r="D21" i="8"/>
  <c r="D9" i="8"/>
  <c r="H13" i="8"/>
  <c r="J21" i="8"/>
  <c r="J9" i="8"/>
  <c r="L13" i="8"/>
  <c r="H6" i="8"/>
  <c r="H5" i="8"/>
  <c r="J12" i="8"/>
  <c r="J11" i="8"/>
  <c r="H12" i="8"/>
  <c r="J20" i="8"/>
  <c r="J8" i="8"/>
  <c r="N16" i="8"/>
  <c r="N4" i="8"/>
  <c r="H18" i="8"/>
  <c r="H17" i="8"/>
  <c r="H2" i="8"/>
  <c r="H11" i="8"/>
  <c r="J19" i="8"/>
  <c r="J7" i="8"/>
  <c r="D13" i="8"/>
  <c r="H16" i="8"/>
  <c r="H15" i="8"/>
  <c r="J2" i="8"/>
  <c r="H22" i="8"/>
  <c r="H10" i="8"/>
  <c r="J18" i="8"/>
  <c r="J6" i="8"/>
  <c r="Z19" i="5"/>
  <c r="Z15" i="5"/>
  <c r="X5" i="7"/>
  <c r="X3" i="7"/>
  <c r="X20" i="8"/>
  <c r="X16" i="8"/>
  <c r="X12" i="8"/>
  <c r="X5" i="8"/>
  <c r="X8" i="8"/>
  <c r="X22" i="8"/>
  <c r="X18" i="8"/>
  <c r="X14" i="8"/>
  <c r="X10" i="8"/>
  <c r="X4" i="8"/>
  <c r="X6" i="8"/>
  <c r="V2" i="8"/>
  <c r="F21" i="8"/>
  <c r="F17" i="8"/>
  <c r="F13" i="8"/>
  <c r="F9" i="8"/>
  <c r="F5" i="8"/>
  <c r="N21" i="8"/>
  <c r="N17" i="8"/>
  <c r="N13" i="8"/>
  <c r="N9" i="8"/>
  <c r="N5" i="8"/>
  <c r="V20" i="8"/>
  <c r="V12" i="8"/>
  <c r="V4" i="8"/>
  <c r="F19" i="8"/>
  <c r="F15" i="8"/>
  <c r="F11" i="8"/>
  <c r="F7" i="8"/>
  <c r="F3" i="8"/>
  <c r="V16" i="8"/>
  <c r="V8" i="8"/>
  <c r="F22" i="8"/>
  <c r="F18" i="8"/>
  <c r="F14" i="8"/>
  <c r="F10" i="8"/>
  <c r="F6" i="8"/>
  <c r="N22" i="8"/>
  <c r="N18" i="8"/>
  <c r="N14" i="8"/>
  <c r="N10" i="8"/>
  <c r="N6" i="8"/>
  <c r="F22" i="7"/>
  <c r="F18" i="7"/>
  <c r="F14" i="7"/>
  <c r="F10" i="7"/>
  <c r="F6" i="7"/>
  <c r="N22" i="7"/>
  <c r="N18" i="7"/>
  <c r="N14" i="7"/>
  <c r="N10" i="7"/>
  <c r="N6" i="7"/>
  <c r="V22" i="7"/>
  <c r="V18" i="7"/>
  <c r="V14" i="7"/>
  <c r="V10" i="7"/>
  <c r="V6" i="7"/>
  <c r="F20" i="7"/>
  <c r="F16" i="7"/>
  <c r="F12" i="7"/>
  <c r="F8" i="7"/>
  <c r="F4" i="7"/>
  <c r="N20" i="7"/>
  <c r="N16" i="7"/>
  <c r="N12" i="7"/>
  <c r="N8" i="7"/>
  <c r="N4" i="7"/>
  <c r="V20" i="7"/>
  <c r="V16" i="7"/>
  <c r="V12" i="7"/>
  <c r="V8" i="7"/>
  <c r="F19" i="7"/>
  <c r="F15" i="7"/>
  <c r="F11" i="7"/>
  <c r="F7" i="7"/>
  <c r="F3" i="7"/>
  <c r="N19" i="7"/>
  <c r="N15" i="7"/>
  <c r="N11" i="7"/>
  <c r="N7" i="7"/>
  <c r="N3" i="7"/>
  <c r="V19" i="7"/>
  <c r="V15" i="7"/>
  <c r="V11" i="7"/>
  <c r="V7" i="7"/>
  <c r="V4" i="7"/>
  <c r="V3" i="7"/>
  <c r="N19" i="8"/>
  <c r="N15" i="8"/>
  <c r="N11" i="8"/>
  <c r="N7" i="8"/>
  <c r="N3" i="8"/>
  <c r="V21" i="8"/>
  <c r="V17" i="8"/>
  <c r="V13" i="8"/>
  <c r="V9" i="8"/>
  <c r="V5" i="8"/>
  <c r="V19" i="8"/>
  <c r="V15" i="8"/>
  <c r="V22" i="8"/>
  <c r="V18" i="8"/>
  <c r="V14" i="8"/>
  <c r="V10" i="8"/>
  <c r="V6" i="8"/>
  <c r="V11" i="8"/>
  <c r="V7" i="8"/>
  <c r="V3" i="8"/>
  <c r="Z22" i="8"/>
  <c r="T2" i="8"/>
  <c r="D20" i="8"/>
  <c r="D16" i="8"/>
  <c r="D12" i="8"/>
  <c r="D8" i="8"/>
  <c r="D4" i="8"/>
  <c r="L20" i="8"/>
  <c r="L16" i="8"/>
  <c r="L12" i="8"/>
  <c r="L8" i="8"/>
  <c r="L4" i="8"/>
  <c r="T20" i="8"/>
  <c r="T16" i="8"/>
  <c r="T12" i="8"/>
  <c r="T8" i="8"/>
  <c r="T4" i="8"/>
  <c r="D15" i="8"/>
  <c r="D11" i="8"/>
  <c r="D7" i="8"/>
  <c r="D3" i="8"/>
  <c r="L19" i="8"/>
  <c r="L15" i="8"/>
  <c r="L11" i="8"/>
  <c r="L7" i="8"/>
  <c r="L3" i="8"/>
  <c r="T19" i="8"/>
  <c r="T15" i="8"/>
  <c r="T11" i="8"/>
  <c r="T7" i="8"/>
  <c r="T3" i="8"/>
  <c r="D19" i="8"/>
  <c r="D22" i="8"/>
  <c r="D18" i="8"/>
  <c r="D14" i="8"/>
  <c r="D10" i="8"/>
  <c r="D6" i="8"/>
  <c r="L22" i="8"/>
  <c r="L18" i="8"/>
  <c r="L14" i="8"/>
  <c r="L10" i="8"/>
  <c r="L6" i="8"/>
  <c r="D2" i="8"/>
  <c r="T6" i="8"/>
  <c r="T22" i="8"/>
  <c r="T18" i="8"/>
  <c r="T14" i="8"/>
  <c r="T10" i="8"/>
  <c r="D19" i="7"/>
  <c r="D15" i="7"/>
  <c r="D11" i="7"/>
  <c r="D7" i="7"/>
  <c r="D3" i="7"/>
  <c r="D17" i="7"/>
  <c r="D9" i="7"/>
  <c r="L21" i="7"/>
  <c r="L17" i="7"/>
  <c r="L13" i="7"/>
  <c r="L9" i="7"/>
  <c r="L5" i="7"/>
  <c r="T21" i="7"/>
  <c r="T17" i="7"/>
  <c r="T13" i="7"/>
  <c r="T9" i="7"/>
  <c r="T5" i="7"/>
  <c r="D21" i="7"/>
  <c r="D13" i="7"/>
  <c r="D5" i="7"/>
  <c r="D20" i="7"/>
  <c r="D16" i="7"/>
  <c r="D12" i="7"/>
  <c r="D8" i="7"/>
  <c r="D4" i="7"/>
  <c r="L20" i="7"/>
  <c r="L16" i="7"/>
  <c r="L12" i="7"/>
  <c r="L8" i="7"/>
  <c r="L4" i="7"/>
  <c r="T20" i="7"/>
  <c r="T16" i="7"/>
  <c r="T12" i="7"/>
  <c r="T8" i="7"/>
  <c r="T4" i="7"/>
  <c r="L19" i="7"/>
  <c r="L15" i="7"/>
  <c r="L11" i="7"/>
  <c r="L7" i="7"/>
  <c r="L3" i="7"/>
  <c r="T19" i="7"/>
  <c r="T15" i="7"/>
  <c r="T11" i="7"/>
  <c r="T7" i="7"/>
  <c r="T3" i="7"/>
  <c r="Z3" i="5"/>
  <c r="Z7" i="5"/>
  <c r="Z11" i="5"/>
  <c r="Z17" i="5"/>
  <c r="Z21" i="5"/>
  <c r="Z20" i="5"/>
  <c r="Z16" i="5"/>
  <c r="Z12" i="5"/>
  <c r="Z13" i="5"/>
  <c r="Z9" i="5"/>
  <c r="Z5" i="5"/>
  <c r="Z8" i="5"/>
  <c r="Z4" i="5"/>
  <c r="Z18" i="5"/>
  <c r="Z14" i="5"/>
  <c r="Z10" i="5"/>
  <c r="Z6" i="5"/>
  <c r="Z2" i="5"/>
  <c r="W2" i="5"/>
  <c r="X2" i="5" s="1"/>
  <c r="W3" i="5"/>
  <c r="X3" i="5" s="1"/>
  <c r="W4" i="5"/>
  <c r="X4" i="5" s="1"/>
  <c r="W5" i="5"/>
  <c r="X5" i="5" s="1"/>
  <c r="W6" i="5"/>
  <c r="X6" i="5" s="1"/>
  <c r="W7" i="5"/>
  <c r="X7" i="5" s="1"/>
  <c r="W8" i="5"/>
  <c r="X8" i="5" s="1"/>
  <c r="W9" i="5"/>
  <c r="X9" i="5" s="1"/>
  <c r="W10" i="5"/>
  <c r="X10" i="5" s="1"/>
  <c r="W11" i="5"/>
  <c r="X11" i="5" s="1"/>
  <c r="W12" i="5"/>
  <c r="X12" i="5" s="1"/>
  <c r="W13" i="5"/>
  <c r="X13" i="5" s="1"/>
  <c r="W14" i="5"/>
  <c r="X14" i="5" s="1"/>
  <c r="W15" i="5"/>
  <c r="X15" i="5" s="1"/>
  <c r="W16" i="5"/>
  <c r="X16" i="5" s="1"/>
  <c r="W17" i="5"/>
  <c r="X17" i="5" s="1"/>
  <c r="W18" i="5"/>
  <c r="X18" i="5" s="1"/>
  <c r="W19" i="5"/>
  <c r="X19" i="5" s="1"/>
  <c r="W20" i="5"/>
  <c r="X20" i="5" s="1"/>
  <c r="W21" i="5"/>
  <c r="X21" i="5" s="1"/>
  <c r="U2" i="5"/>
  <c r="V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S2" i="5"/>
  <c r="T2" i="5" s="1"/>
  <c r="S3" i="5"/>
  <c r="T3" i="5" s="1"/>
  <c r="S4" i="5"/>
  <c r="T4" i="5" s="1"/>
  <c r="S5" i="5"/>
  <c r="T5" i="5" s="1"/>
  <c r="S6" i="5"/>
  <c r="T6" i="5" s="1"/>
  <c r="S7" i="5"/>
  <c r="T7" i="5" s="1"/>
  <c r="S8" i="5"/>
  <c r="T8" i="5" s="1"/>
  <c r="S9" i="5"/>
  <c r="T9" i="5" s="1"/>
  <c r="S10" i="5"/>
  <c r="T10" i="5" s="1"/>
  <c r="S11" i="5"/>
  <c r="T11" i="5" s="1"/>
  <c r="S12" i="5"/>
  <c r="T12" i="5" s="1"/>
  <c r="S13" i="5"/>
  <c r="T13" i="5" s="1"/>
  <c r="S14" i="5"/>
  <c r="T14" i="5" s="1"/>
  <c r="S15" i="5"/>
  <c r="T15" i="5" s="1"/>
  <c r="S16" i="5"/>
  <c r="T16" i="5" s="1"/>
  <c r="S17" i="5"/>
  <c r="T17" i="5" s="1"/>
  <c r="S18" i="5"/>
  <c r="T18" i="5" s="1"/>
  <c r="S19" i="5"/>
  <c r="T19" i="5" s="1"/>
  <c r="S20" i="5"/>
  <c r="T20" i="5" s="1"/>
  <c r="S21" i="5"/>
  <c r="T21" i="5" s="1"/>
  <c r="Q2" i="5"/>
  <c r="R2" i="5" s="1"/>
  <c r="Q3" i="5"/>
  <c r="R3" i="5" s="1"/>
  <c r="Q4" i="5"/>
  <c r="R4" i="5" s="1"/>
  <c r="Q5" i="5"/>
  <c r="R5" i="5" s="1"/>
  <c r="Q6" i="5"/>
  <c r="R6" i="5" s="1"/>
  <c r="Q7" i="5"/>
  <c r="R7" i="5" s="1"/>
  <c r="Q8" i="5"/>
  <c r="R8" i="5" s="1"/>
  <c r="Q9" i="5"/>
  <c r="R9" i="5" s="1"/>
  <c r="Q10" i="5"/>
  <c r="R10" i="5" s="1"/>
  <c r="Q11" i="5"/>
  <c r="R11" i="5" s="1"/>
  <c r="Q12" i="5"/>
  <c r="R12" i="5" s="1"/>
  <c r="Q13" i="5"/>
  <c r="R13" i="5" s="1"/>
  <c r="Q14" i="5"/>
  <c r="R14" i="5" s="1"/>
  <c r="Q15" i="5"/>
  <c r="R15" i="5" s="1"/>
  <c r="Q16" i="5"/>
  <c r="R16" i="5" s="1"/>
  <c r="Q17" i="5"/>
  <c r="R17" i="5" s="1"/>
  <c r="Q18" i="5"/>
  <c r="R18" i="5" s="1"/>
  <c r="Q19" i="5"/>
  <c r="R19" i="5" s="1"/>
  <c r="Q20" i="5"/>
  <c r="R20" i="5" s="1"/>
  <c r="Q21" i="5"/>
  <c r="R21" i="5" s="1"/>
  <c r="O2" i="5"/>
  <c r="P2" i="5" s="1"/>
  <c r="O3" i="5"/>
  <c r="P3" i="5" s="1"/>
  <c r="O4" i="5"/>
  <c r="P4" i="5" s="1"/>
  <c r="O5" i="5"/>
  <c r="P5" i="5" s="1"/>
  <c r="O6" i="5"/>
  <c r="P6" i="5" s="1"/>
  <c r="O7" i="5"/>
  <c r="P7" i="5" s="1"/>
  <c r="O8" i="5"/>
  <c r="P8" i="5" s="1"/>
  <c r="O9" i="5"/>
  <c r="P9" i="5" s="1"/>
  <c r="O10" i="5"/>
  <c r="P10" i="5" s="1"/>
  <c r="O11" i="5"/>
  <c r="P11" i="5" s="1"/>
  <c r="O12" i="5"/>
  <c r="P12" i="5" s="1"/>
  <c r="O13" i="5"/>
  <c r="P13" i="5" s="1"/>
  <c r="O14" i="5"/>
  <c r="P14" i="5" s="1"/>
  <c r="O15" i="5"/>
  <c r="P15" i="5" s="1"/>
  <c r="O16" i="5"/>
  <c r="P16" i="5" s="1"/>
  <c r="O17" i="5"/>
  <c r="P17" i="5" s="1"/>
  <c r="O18" i="5"/>
  <c r="P18" i="5" s="1"/>
  <c r="O19" i="5"/>
  <c r="P19" i="5" s="1"/>
  <c r="O20" i="5"/>
  <c r="P20" i="5" s="1"/>
  <c r="O21" i="5"/>
  <c r="P21" i="5" s="1"/>
  <c r="M2" i="5"/>
  <c r="N2" i="5" s="1"/>
  <c r="M3" i="5"/>
  <c r="N3" i="5" s="1"/>
  <c r="M4" i="5"/>
  <c r="N4" i="5" s="1"/>
  <c r="M5" i="5"/>
  <c r="N5" i="5" s="1"/>
  <c r="M6" i="5"/>
  <c r="N6" i="5" s="1"/>
  <c r="M7" i="5"/>
  <c r="N7" i="5" s="1"/>
  <c r="M8" i="5"/>
  <c r="N8" i="5" s="1"/>
  <c r="M9" i="5"/>
  <c r="N9" i="5" s="1"/>
  <c r="M10" i="5"/>
  <c r="N10" i="5" s="1"/>
  <c r="M11" i="5"/>
  <c r="N11" i="5" s="1"/>
  <c r="M12" i="5"/>
  <c r="N12" i="5" s="1"/>
  <c r="M13" i="5"/>
  <c r="N13" i="5" s="1"/>
  <c r="M14" i="5"/>
  <c r="N14" i="5" s="1"/>
  <c r="M15" i="5"/>
  <c r="N15" i="5" s="1"/>
  <c r="M16" i="5"/>
  <c r="N16" i="5" s="1"/>
  <c r="M17" i="5"/>
  <c r="N17" i="5" s="1"/>
  <c r="M18" i="5"/>
  <c r="N18" i="5" s="1"/>
  <c r="M19" i="5"/>
  <c r="N19" i="5" s="1"/>
  <c r="M20" i="5"/>
  <c r="N20" i="5" s="1"/>
  <c r="M21" i="5"/>
  <c r="N21" i="5" s="1"/>
  <c r="K21" i="5"/>
  <c r="L21" i="5" s="1"/>
  <c r="K2" i="5"/>
  <c r="L2" i="5" s="1"/>
  <c r="K3" i="5"/>
  <c r="L3" i="5" s="1"/>
  <c r="K4" i="5"/>
  <c r="L4" i="5" s="1"/>
  <c r="K5" i="5"/>
  <c r="L5" i="5" s="1"/>
  <c r="K6" i="5"/>
  <c r="L6" i="5" s="1"/>
  <c r="K7" i="5"/>
  <c r="L7" i="5" s="1"/>
  <c r="K8" i="5"/>
  <c r="L8" i="5" s="1"/>
  <c r="K9" i="5"/>
  <c r="L9" i="5" s="1"/>
  <c r="K10" i="5"/>
  <c r="L10" i="5" s="1"/>
  <c r="K11" i="5"/>
  <c r="L11" i="5" s="1"/>
  <c r="K12" i="5"/>
  <c r="L12" i="5" s="1"/>
  <c r="K13" i="5"/>
  <c r="L13" i="5" s="1"/>
  <c r="K14" i="5"/>
  <c r="L14" i="5" s="1"/>
  <c r="K15" i="5"/>
  <c r="L15" i="5" s="1"/>
  <c r="K16" i="5"/>
  <c r="L16" i="5" s="1"/>
  <c r="K17" i="5"/>
  <c r="L17" i="5" s="1"/>
  <c r="K18" i="5"/>
  <c r="L18" i="5" s="1"/>
  <c r="K19" i="5"/>
  <c r="L19" i="5" s="1"/>
  <c r="K20" i="5"/>
  <c r="L20" i="5" s="1"/>
  <c r="I2" i="5"/>
  <c r="J2" i="5" s="1"/>
  <c r="I3" i="5"/>
  <c r="J3" i="5" s="1"/>
  <c r="I4" i="5"/>
  <c r="J4" i="5" s="1"/>
  <c r="I5" i="5"/>
  <c r="J5" i="5" s="1"/>
  <c r="I6" i="5"/>
  <c r="J6" i="5" s="1"/>
  <c r="I7" i="5"/>
  <c r="J7" i="5" s="1"/>
  <c r="I8" i="5"/>
  <c r="J8" i="5" s="1"/>
  <c r="I9" i="5"/>
  <c r="J9" i="5" s="1"/>
  <c r="I10" i="5"/>
  <c r="J10" i="5" s="1"/>
  <c r="I11" i="5"/>
  <c r="J11" i="5" s="1"/>
  <c r="I12" i="5"/>
  <c r="J12" i="5" s="1"/>
  <c r="I13" i="5"/>
  <c r="J13" i="5" s="1"/>
  <c r="I14" i="5"/>
  <c r="J14" i="5" s="1"/>
  <c r="I15" i="5"/>
  <c r="J15" i="5" s="1"/>
  <c r="I16" i="5"/>
  <c r="J16" i="5" s="1"/>
  <c r="I17" i="5"/>
  <c r="J17" i="5" s="1"/>
  <c r="I18" i="5"/>
  <c r="J18" i="5" s="1"/>
  <c r="I19" i="5"/>
  <c r="J19" i="5" s="1"/>
  <c r="I20" i="5"/>
  <c r="J20" i="5" s="1"/>
  <c r="I21" i="5"/>
  <c r="J21" i="5" s="1"/>
  <c r="G21" i="5"/>
  <c r="H21" i="5" s="1"/>
  <c r="G2" i="5"/>
  <c r="H2" i="5" s="1"/>
  <c r="G3" i="5"/>
  <c r="H3" i="5" s="1"/>
  <c r="G4" i="5"/>
  <c r="H4" i="5" s="1"/>
  <c r="G5" i="5"/>
  <c r="H5" i="5" s="1"/>
  <c r="G6" i="5"/>
  <c r="H6" i="5" s="1"/>
  <c r="G7" i="5"/>
  <c r="H7" i="5" s="1"/>
  <c r="G8" i="5"/>
  <c r="H8" i="5" s="1"/>
  <c r="G9" i="5"/>
  <c r="H9" i="5" s="1"/>
  <c r="G10" i="5"/>
  <c r="H10" i="5" s="1"/>
  <c r="G11" i="5"/>
  <c r="H11" i="5" s="1"/>
  <c r="G12" i="5"/>
  <c r="H12" i="5" s="1"/>
  <c r="G13" i="5"/>
  <c r="H13" i="5" s="1"/>
  <c r="G14" i="5"/>
  <c r="H14" i="5" s="1"/>
  <c r="G15" i="5"/>
  <c r="H15" i="5" s="1"/>
  <c r="G16" i="5"/>
  <c r="H16" i="5" s="1"/>
  <c r="G17" i="5"/>
  <c r="H17" i="5" s="1"/>
  <c r="G18" i="5"/>
  <c r="H18" i="5" s="1"/>
  <c r="G19" i="5"/>
  <c r="H19" i="5" s="1"/>
  <c r="G20" i="5"/>
  <c r="H20" i="5" s="1"/>
  <c r="E2" i="5"/>
  <c r="F2" i="5" s="1"/>
  <c r="E3" i="5"/>
  <c r="F3" i="5" s="1"/>
  <c r="E4" i="5"/>
  <c r="F4" i="5" s="1"/>
  <c r="E5" i="5"/>
  <c r="F5" i="5" s="1"/>
  <c r="E6" i="5"/>
  <c r="F6" i="5" s="1"/>
  <c r="E7" i="5"/>
  <c r="F7" i="5" s="1"/>
  <c r="E8" i="5"/>
  <c r="F8" i="5" s="1"/>
  <c r="E9" i="5"/>
  <c r="F9" i="5" s="1"/>
  <c r="E10" i="5"/>
  <c r="F10" i="5" s="1"/>
  <c r="E11" i="5"/>
  <c r="F11" i="5" s="1"/>
  <c r="E12" i="5"/>
  <c r="F12" i="5" s="1"/>
  <c r="E13" i="5"/>
  <c r="F13" i="5" s="1"/>
  <c r="E14" i="5"/>
  <c r="F14" i="5" s="1"/>
  <c r="E15" i="5"/>
  <c r="F15" i="5" s="1"/>
  <c r="E16" i="5"/>
  <c r="F16" i="5" s="1"/>
  <c r="E17" i="5"/>
  <c r="F17" i="5" s="1"/>
  <c r="E18" i="5"/>
  <c r="F18" i="5" s="1"/>
  <c r="E19" i="5"/>
  <c r="F19" i="5" s="1"/>
  <c r="E20" i="5"/>
  <c r="F20" i="5" s="1"/>
  <c r="E21" i="5"/>
  <c r="F21" i="5" s="1"/>
  <c r="C2" i="5"/>
  <c r="D2" i="5" s="1"/>
  <c r="C3" i="5"/>
  <c r="D3" i="5" s="1"/>
  <c r="C4" i="5"/>
  <c r="D4" i="5" s="1"/>
  <c r="C5" i="5"/>
  <c r="D5" i="5" s="1"/>
  <c r="C6" i="5"/>
  <c r="D6" i="5" s="1"/>
  <c r="C7" i="5"/>
  <c r="D7" i="5" s="1"/>
  <c r="C8" i="5"/>
  <c r="D8" i="5" s="1"/>
  <c r="C9" i="5"/>
  <c r="D9" i="5" s="1"/>
  <c r="C10" i="5"/>
  <c r="D10" i="5" s="1"/>
  <c r="C11" i="5"/>
  <c r="D11" i="5" s="1"/>
  <c r="C12" i="5"/>
  <c r="D12" i="5" s="1"/>
  <c r="C13" i="5"/>
  <c r="D13" i="5" s="1"/>
  <c r="C14" i="5"/>
  <c r="D14" i="5" s="1"/>
  <c r="C15" i="5"/>
  <c r="D15" i="5" s="1"/>
  <c r="C16" i="5"/>
  <c r="D16" i="5" s="1"/>
  <c r="C17" i="5"/>
  <c r="D17" i="5" s="1"/>
  <c r="C18" i="5"/>
  <c r="D18" i="5" s="1"/>
  <c r="C19" i="5"/>
  <c r="D19" i="5" s="1"/>
  <c r="C20" i="5"/>
  <c r="D20" i="5" s="1"/>
  <c r="C21" i="5"/>
  <c r="D21" i="5" s="1"/>
</calcChain>
</file>

<file path=xl/sharedStrings.xml><?xml version="1.0" encoding="utf-8"?>
<sst xmlns="http://schemas.openxmlformats.org/spreadsheetml/2006/main" count="179" uniqueCount="53">
  <si>
    <t>#Data</t>
  </si>
  <si>
    <t>#Número</t>
  </si>
  <si>
    <t>#Turno</t>
  </si>
  <si>
    <t>#Linha/Fornecedor/Terceiro</t>
  </si>
  <si>
    <t>#Equipamento</t>
  </si>
  <si>
    <t>#Produto</t>
  </si>
  <si>
    <t>#Responsável</t>
  </si>
  <si>
    <t>MANHÃ</t>
  </si>
  <si>
    <t>Linhas</t>
  </si>
  <si>
    <t>Janeiro</t>
  </si>
  <si>
    <t>Feveireiro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</si>
  <si>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</si>
  <si>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</si>
  <si>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</si>
  <si>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</si>
  <si>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</si>
  <si>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</si>
  <si>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</si>
  <si>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</si>
  <si>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</si>
  <si>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</si>
  <si>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LINHA 02</t>
  </si>
  <si>
    <t>Fornecedores</t>
  </si>
  <si>
    <t>Terceiros</t>
  </si>
  <si>
    <t>%</t>
  </si>
  <si>
    <t>Total RNC</t>
  </si>
  <si>
    <t>#Qt. Peças</t>
  </si>
  <si>
    <t>LIMA E TETE</t>
  </si>
  <si>
    <t>Usuário</t>
  </si>
  <si>
    <t>Senha</t>
  </si>
  <si>
    <t>Tipo</t>
  </si>
  <si>
    <t>ID</t>
  </si>
  <si>
    <t>Admin</t>
  </si>
  <si>
    <t>User</t>
  </si>
  <si>
    <t>pasquini</t>
  </si>
  <si>
    <t>jean123159</t>
  </si>
  <si>
    <t>25/06/2031</t>
  </si>
  <si>
    <t>#DESCRICÃO</t>
  </si>
  <si>
    <t>RELATÓRIO GERADO:</t>
  </si>
  <si>
    <t>SITUAÇÃO:</t>
  </si>
  <si>
    <t>PENDENTE</t>
  </si>
  <si>
    <t>RELÁTORIO DE NÃO CONFORMIDADE PARA LINHAS</t>
  </si>
  <si>
    <t>20/07/2004</t>
  </si>
  <si>
    <t>RELÁTORIO DE NÃO CONFORMIDADE PARA FORNECEDORES</t>
  </si>
  <si>
    <t>RELÁTORIO DE NÃO CONFORMIDADE PARA TERCEIROS</t>
  </si>
  <si>
    <t>user</t>
  </si>
  <si>
    <t>USER</t>
  </si>
  <si>
    <t>LINHA 01</t>
  </si>
  <si>
    <t>MOTOR</t>
  </si>
  <si>
    <t>PISTÃO</t>
  </si>
  <si>
    <t>CARRO</t>
  </si>
  <si>
    <t>PORTA</t>
  </si>
  <si>
    <t>SEM DOCUMENTO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</si>
</sst>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48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3" borderId="2" xfId="0" applyFill="1" applyBorder="1"/>
    <xf numFmtId="0" fontId="0" fillId="3" borderId="3" xfId="0" applyFill="1" applyBorder="1"/>
    <xf numFmtId="0" fontId="3" fillId="3" borderId="4" xfId="0" applyFont="1" applyFill="1" applyBorder="1" applyAlignment="1">
      <alignment horizontal="center" vertical="center"/>
    </xf>
    <xf numFmtId="0" fontId="0" fillId="1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3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3" borderId="5" xfId="0" applyFill="1" applyBorder="1"/>
    <xf numFmtId="0" fontId="0" fillId="15" borderId="6" xfId="0" applyFill="1" applyBorder="1"/>
    <xf numFmtId="0" fontId="0" fillId="0" borderId="7" xfId="0" applyBorder="1"/>
    <xf numFmtId="0" fontId="0" fillId="0" borderId="8" xfId="0" applyBorder="1"/>
    <xf numFmtId="10" fontId="0" fillId="4" borderId="1" xfId="1" applyNumberFormat="1" applyFont="1" applyFill="1" applyBorder="1"/>
    <xf numFmtId="10" fontId="0" fillId="5" borderId="1" xfId="1" applyNumberFormat="1" applyFont="1" applyFill="1" applyBorder="1"/>
    <xf numFmtId="10" fontId="0" fillId="6" borderId="1" xfId="1" applyNumberFormat="1" applyFont="1" applyFill="1" applyBorder="1"/>
    <xf numFmtId="10" fontId="0" fillId="7" borderId="1" xfId="1" applyNumberFormat="1" applyFont="1" applyFill="1" applyBorder="1"/>
    <xf numFmtId="10" fontId="0" fillId="8" borderId="1" xfId="1" applyNumberFormat="1" applyFont="1" applyFill="1" applyBorder="1"/>
    <xf numFmtId="10" fontId="0" fillId="3" borderId="1" xfId="1" applyNumberFormat="1" applyFont="1" applyFill="1" applyBorder="1"/>
    <xf numFmtId="10" fontId="0" fillId="9" borderId="1" xfId="1" applyNumberFormat="1" applyFont="1" applyFill="1" applyBorder="1"/>
    <xf numFmtId="10" fontId="0" fillId="10" borderId="1" xfId="1" applyNumberFormat="1" applyFont="1" applyFill="1" applyBorder="1"/>
    <xf numFmtId="10" fontId="0" fillId="11" borderId="1" xfId="1" applyNumberFormat="1" applyFont="1" applyFill="1" applyBorder="1"/>
    <xf numFmtId="10" fontId="0" fillId="12" borderId="1" xfId="1" applyNumberFormat="1" applyFont="1" applyFill="1" applyBorder="1"/>
    <xf numFmtId="10" fontId="0" fillId="13" borderId="1" xfId="1" applyNumberFormat="1" applyFont="1" applyFill="1" applyBorder="1"/>
    <xf numFmtId="0" fontId="0" fillId="0" borderId="0" xfId="0" applyAlignment="1">
      <alignment horizontal="right"/>
    </xf>
    <xf numFmtId="0" fontId="0" fillId="0" borderId="9" xfId="0" applyBorder="1"/>
    <xf numFmtId="0" fontId="0" fillId="16" borderId="1" xfId="0" applyFill="1" applyBorder="1"/>
    <xf numFmtId="0" fontId="5" fillId="16" borderId="0" xfId="0" applyFont="1" applyFill="1"/>
    <xf numFmtId="1" fontId="0" fillId="0" borderId="1" xfId="0" applyNumberFormat="1" applyBorder="1"/>
    <xf numFmtId="1" fontId="0" fillId="0" borderId="0" xfId="0" applyNumberFormat="1"/>
    <xf numFmtId="14" fontId="0" fillId="0" borderId="1" xfId="0" applyNumberFormat="1" applyBorder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10" fontId="0" fillId="4" borderId="12" xfId="1" applyNumberFormat="1" applyFont="1" applyFill="1" applyBorder="1"/>
    <xf numFmtId="0" fontId="0" fillId="5" borderId="12" xfId="0" applyFill="1" applyBorder="1"/>
    <xf numFmtId="10" fontId="0" fillId="5" borderId="12" xfId="1" applyNumberFormat="1" applyFont="1" applyFill="1" applyBorder="1"/>
    <xf numFmtId="0" fontId="0" fillId="6" borderId="12" xfId="0" applyFill="1" applyBorder="1"/>
    <xf numFmtId="10" fontId="0" fillId="6" borderId="12" xfId="1" applyNumberFormat="1" applyFont="1" applyFill="1" applyBorder="1"/>
    <xf numFmtId="0" fontId="0" fillId="7" borderId="12" xfId="0" applyFill="1" applyBorder="1"/>
    <xf numFmtId="10" fontId="0" fillId="7" borderId="12" xfId="1" applyNumberFormat="1" applyFont="1" applyFill="1" applyBorder="1"/>
    <xf numFmtId="0" fontId="0" fillId="8" borderId="12" xfId="0" applyFill="1" applyBorder="1"/>
    <xf numFmtId="10" fontId="0" fillId="8" borderId="12" xfId="1" applyNumberFormat="1" applyFont="1" applyFill="1" applyBorder="1"/>
    <xf numFmtId="0" fontId="0" fillId="3" borderId="12" xfId="0" applyFill="1" applyBorder="1"/>
    <xf numFmtId="10" fontId="0" fillId="3" borderId="12" xfId="1" applyNumberFormat="1" applyFont="1" applyFill="1" applyBorder="1"/>
    <xf numFmtId="0" fontId="0" fillId="9" borderId="12" xfId="0" applyFill="1" applyBorder="1"/>
    <xf numFmtId="10" fontId="0" fillId="9" borderId="12" xfId="1" applyNumberFormat="1" applyFont="1" applyFill="1" applyBorder="1"/>
    <xf numFmtId="0" fontId="0" fillId="10" borderId="12" xfId="0" applyFill="1" applyBorder="1"/>
    <xf numFmtId="10" fontId="0" fillId="10" borderId="12" xfId="1" applyNumberFormat="1" applyFont="1" applyFill="1" applyBorder="1"/>
    <xf numFmtId="0" fontId="0" fillId="11" borderId="12" xfId="0" applyFill="1" applyBorder="1"/>
    <xf numFmtId="10" fontId="0" fillId="11" borderId="12" xfId="1" applyNumberFormat="1" applyFont="1" applyFill="1" applyBorder="1"/>
    <xf numFmtId="0" fontId="0" fillId="12" borderId="12" xfId="0" applyFill="1" applyBorder="1"/>
    <xf numFmtId="10" fontId="0" fillId="12" borderId="12" xfId="1" applyNumberFormat="1" applyFont="1" applyFill="1" applyBorder="1"/>
    <xf numFmtId="0" fontId="0" fillId="13" borderId="12" xfId="0" applyFill="1" applyBorder="1"/>
    <xf numFmtId="10" fontId="0" fillId="13" borderId="12" xfId="1" applyNumberFormat="1" applyFont="1" applyFill="1" applyBorder="1"/>
    <xf numFmtId="0" fontId="0" fillId="14" borderId="12" xfId="0" applyFill="1" applyBorder="1"/>
    <xf numFmtId="10" fontId="0" fillId="14" borderId="14" xfId="1" applyNumberFormat="1" applyFont="1" applyFill="1" applyBorder="1"/>
    <xf numFmtId="10" fontId="0" fillId="14" borderId="15" xfId="1" applyNumberFormat="1" applyFont="1" applyFill="1" applyBorder="1"/>
    <xf numFmtId="10" fontId="0" fillId="4" borderId="6" xfId="1" applyNumberFormat="1" applyFont="1" applyFill="1" applyBorder="1"/>
    <xf numFmtId="0" fontId="0" fillId="5" borderId="6" xfId="0" applyFill="1" applyBorder="1"/>
    <xf numFmtId="10" fontId="0" fillId="5" borderId="6" xfId="1" applyNumberFormat="1" applyFont="1" applyFill="1" applyBorder="1"/>
    <xf numFmtId="0" fontId="0" fillId="6" borderId="6" xfId="0" applyFill="1" applyBorder="1"/>
    <xf numFmtId="10" fontId="0" fillId="6" borderId="6" xfId="1" applyNumberFormat="1" applyFont="1" applyFill="1" applyBorder="1"/>
    <xf numFmtId="0" fontId="0" fillId="7" borderId="6" xfId="0" applyFill="1" applyBorder="1"/>
    <xf numFmtId="10" fontId="0" fillId="7" borderId="6" xfId="1" applyNumberFormat="1" applyFont="1" applyFill="1" applyBorder="1"/>
    <xf numFmtId="0" fontId="0" fillId="8" borderId="6" xfId="0" applyFill="1" applyBorder="1"/>
    <xf numFmtId="10" fontId="0" fillId="8" borderId="6" xfId="1" applyNumberFormat="1" applyFont="1" applyFill="1" applyBorder="1"/>
    <xf numFmtId="0" fontId="0" fillId="3" borderId="6" xfId="0" applyFill="1" applyBorder="1"/>
    <xf numFmtId="10" fontId="0" fillId="3" borderId="6" xfId="1" applyNumberFormat="1" applyFont="1" applyFill="1" applyBorder="1"/>
    <xf numFmtId="0" fontId="0" fillId="9" borderId="6" xfId="0" applyFill="1" applyBorder="1"/>
    <xf numFmtId="10" fontId="0" fillId="9" borderId="6" xfId="1" applyNumberFormat="1" applyFont="1" applyFill="1" applyBorder="1"/>
    <xf numFmtId="0" fontId="0" fillId="10" borderId="6" xfId="0" applyFill="1" applyBorder="1"/>
    <xf numFmtId="10" fontId="0" fillId="10" borderId="6" xfId="1" applyNumberFormat="1" applyFont="1" applyFill="1" applyBorder="1"/>
    <xf numFmtId="0" fontId="0" fillId="11" borderId="6" xfId="0" applyFill="1" applyBorder="1"/>
    <xf numFmtId="10" fontId="0" fillId="11" borderId="6" xfId="1" applyNumberFormat="1" applyFont="1" applyFill="1" applyBorder="1"/>
    <xf numFmtId="0" fontId="0" fillId="12" borderId="6" xfId="0" applyFill="1" applyBorder="1"/>
    <xf numFmtId="10" fontId="0" fillId="12" borderId="6" xfId="1" applyNumberFormat="1" applyFont="1" applyFill="1" applyBorder="1"/>
    <xf numFmtId="0" fontId="0" fillId="13" borderId="6" xfId="0" applyFill="1" applyBorder="1"/>
    <xf numFmtId="10" fontId="0" fillId="13" borderId="6" xfId="1" applyNumberFormat="1" applyFont="1" applyFill="1" applyBorder="1"/>
    <xf numFmtId="0" fontId="0" fillId="14" borderId="6" xfId="0" applyFill="1" applyBorder="1"/>
    <xf numFmtId="10" fontId="0" fillId="14" borderId="16" xfId="1" applyNumberFormat="1" applyFont="1" applyFill="1" applyBorder="1"/>
    <xf numFmtId="10" fontId="0" fillId="4" borderId="17" xfId="1" applyNumberFormat="1" applyFont="1" applyFill="1" applyBorder="1"/>
    <xf numFmtId="0" fontId="0" fillId="5" borderId="17" xfId="0" applyFill="1" applyBorder="1"/>
    <xf numFmtId="10" fontId="0" fillId="5" borderId="17" xfId="1" applyNumberFormat="1" applyFont="1" applyFill="1" applyBorder="1"/>
    <xf numFmtId="0" fontId="0" fillId="6" borderId="17" xfId="0" applyFill="1" applyBorder="1"/>
    <xf numFmtId="10" fontId="0" fillId="6" borderId="17" xfId="1" applyNumberFormat="1" applyFont="1" applyFill="1" applyBorder="1"/>
    <xf numFmtId="0" fontId="0" fillId="7" borderId="17" xfId="0" applyFill="1" applyBorder="1"/>
    <xf numFmtId="10" fontId="0" fillId="7" borderId="17" xfId="1" applyNumberFormat="1" applyFont="1" applyFill="1" applyBorder="1"/>
    <xf numFmtId="0" fontId="0" fillId="8" borderId="17" xfId="0" applyFill="1" applyBorder="1"/>
    <xf numFmtId="10" fontId="0" fillId="8" borderId="17" xfId="1" applyNumberFormat="1" applyFont="1" applyFill="1" applyBorder="1"/>
    <xf numFmtId="0" fontId="0" fillId="3" borderId="17" xfId="0" applyFill="1" applyBorder="1"/>
    <xf numFmtId="10" fontId="0" fillId="3" borderId="17" xfId="1" applyNumberFormat="1" applyFont="1" applyFill="1" applyBorder="1"/>
    <xf numFmtId="0" fontId="0" fillId="9" borderId="17" xfId="0" applyFill="1" applyBorder="1"/>
    <xf numFmtId="10" fontId="0" fillId="9" borderId="17" xfId="1" applyNumberFormat="1" applyFont="1" applyFill="1" applyBorder="1"/>
    <xf numFmtId="0" fontId="0" fillId="10" borderId="17" xfId="0" applyFill="1" applyBorder="1"/>
    <xf numFmtId="10" fontId="0" fillId="10" borderId="17" xfId="1" applyNumberFormat="1" applyFont="1" applyFill="1" applyBorder="1"/>
    <xf numFmtId="0" fontId="0" fillId="11" borderId="17" xfId="0" applyFill="1" applyBorder="1"/>
    <xf numFmtId="10" fontId="0" fillId="11" borderId="17" xfId="1" applyNumberFormat="1" applyFont="1" applyFill="1" applyBorder="1"/>
    <xf numFmtId="0" fontId="0" fillId="12" borderId="17" xfId="0" applyFill="1" applyBorder="1"/>
    <xf numFmtId="10" fontId="0" fillId="12" borderId="17" xfId="1" applyNumberFormat="1" applyFont="1" applyFill="1" applyBorder="1"/>
    <xf numFmtId="0" fontId="0" fillId="13" borderId="17" xfId="0" applyFill="1" applyBorder="1"/>
    <xf numFmtId="10" fontId="0" fillId="13" borderId="17" xfId="1" applyNumberFormat="1" applyFont="1" applyFill="1" applyBorder="1"/>
    <xf numFmtId="0" fontId="0" fillId="14" borderId="17" xfId="0" applyFill="1" applyBorder="1"/>
    <xf numFmtId="10" fontId="0" fillId="14" borderId="18" xfId="1" applyNumberFormat="1" applyFont="1" applyFill="1" applyBorder="1"/>
    <xf numFmtId="0" fontId="3" fillId="3" borderId="19" xfId="0" applyFont="1" applyFill="1" applyBorder="1" applyAlignment="1">
      <alignment horizontal="center"/>
    </xf>
    <xf numFmtId="0" fontId="3" fillId="3" borderId="20" xfId="0" applyFont="1" applyFill="1" applyBorder="1" applyAlignment="1">
      <alignment horizontal="center"/>
    </xf>
    <xf numFmtId="0" fontId="3" fillId="3" borderId="21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4" borderId="22" xfId="0" applyFill="1" applyBorder="1"/>
    <xf numFmtId="0" fontId="0" fillId="4" borderId="11" xfId="0" applyFill="1" applyBorder="1"/>
    <xf numFmtId="0" fontId="0" fillId="4" borderId="23" xfId="0" applyFill="1" applyBorder="1"/>
    <xf numFmtId="0" fontId="0" fillId="4" borderId="24" xfId="0" applyFill="1" applyBorder="1"/>
    <xf numFmtId="0" fontId="3" fillId="3" borderId="29" xfId="0" applyFont="1" applyFill="1" applyBorder="1" applyAlignment="1">
      <alignment horizontal="center"/>
    </xf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5" xfId="0" applyBorder="1"/>
    <xf numFmtId="0" fontId="3" fillId="3" borderId="20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0" fillId="0" borderId="37" xfId="0" applyBorder="1"/>
    <xf numFmtId="0" fontId="0" fillId="0" borderId="38" xfId="0" applyBorder="1"/>
    <xf numFmtId="0" fontId="0" fillId="4" borderId="35" xfId="0" applyFill="1" applyBorder="1"/>
    <xf numFmtId="0" fontId="0" fillId="4" borderId="34" xfId="0" applyFill="1" applyBorder="1"/>
    <xf numFmtId="0" fontId="0" fillId="4" borderId="3" xfId="0" applyFill="1" applyBorder="1"/>
    <xf numFmtId="0" fontId="3" fillId="3" borderId="29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4" xfId="0" applyBorder="1"/>
    <xf numFmtId="0" fontId="0" fillId="0" borderId="16" xfId="0" applyBorder="1"/>
    <xf numFmtId="0" fontId="0" fillId="17" borderId="9" xfId="0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46">
    <dxf>
      <font>
        <color rgb="FF9C5700"/>
      </font>
      <fill>
        <patternFill>
          <bgColor rgb="FFFFEB9C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1"/>
      </font>
      <fill>
        <patternFill>
          <bgColor theme="7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Janeiro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Não Conformidade - Janeiro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Linha'!$A$1:$A$21</c15:sqref>
                  </c15:fullRef>
                </c:ext>
              </c:extLst>
              <c:f>'Dados Linha'!$A$2:$A$21</c:f>
              <c:strCache>
                <c:ptCount val="1"/>
                <c:pt idx="0">
                  <c:v>LINHA 02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Linha'!$C$1:$C$21</c15:sqref>
                  </c15:fullRef>
                </c:ext>
              </c:extLst>
              <c:f>'Dados Linha'!$C$2:$C$21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E4-4BD0-95A7-710E9F7AE53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Fevereiro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Linha'!$A$1:$A$21</c15:sqref>
                  </c15:fullRef>
                </c:ext>
              </c:extLst>
              <c:f>'Dados Linha'!$A$2:$A$21</c:f>
              <c:strCache>
                <c:ptCount val="1"/>
                <c:pt idx="0">
                  <c:v>LINHA 02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Linha'!$E$1:$E$21</c15:sqref>
                  </c15:fullRef>
                </c:ext>
              </c:extLst>
              <c:f>'Dados Linha'!$E$2:$E$21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CD-415B-92AB-E8EFBFCB7F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Março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Linha'!$A$1:$A$21</c15:sqref>
                  </c15:fullRef>
                </c:ext>
              </c:extLst>
              <c:f>'Dados Linha'!$A$2:$A$21</c:f>
              <c:strCache>
                <c:ptCount val="1"/>
                <c:pt idx="0">
                  <c:v>LINHA 02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Linha'!$G$1:$G$21</c15:sqref>
                  </c15:fullRef>
                </c:ext>
              </c:extLst>
              <c:f>'Dados Linha'!$G$2:$G$21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C-4280-B061-0E1FBB1F84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Abril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Linha'!$A$1:$A$21</c15:sqref>
                  </c15:fullRef>
                </c:ext>
              </c:extLst>
              <c:f>'Dados Linha'!$A$2:$A$21</c:f>
              <c:strCache>
                <c:ptCount val="1"/>
                <c:pt idx="0">
                  <c:v>LINHA 02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Linha'!$I$1:$I$21</c15:sqref>
                  </c15:fullRef>
                </c:ext>
              </c:extLst>
              <c:f>'Dados Linha'!$I$2:$I$21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DE-4879-AAB2-2C74A027AED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Maio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Linha'!$A$1:$A$21</c15:sqref>
                  </c15:fullRef>
                </c:ext>
              </c:extLst>
              <c:f>'Dados Linha'!$A$2:$A$21</c:f>
              <c:strCache>
                <c:ptCount val="1"/>
                <c:pt idx="0">
                  <c:v>LINHA 02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Linha'!$K$1:$K$21</c15:sqref>
                  </c15:fullRef>
                </c:ext>
              </c:extLst>
              <c:f>'Dados Linha'!$K$2:$K$21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A2-40CE-AC5C-40316B2136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Junho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Linha'!$A$1:$A$21</c15:sqref>
                  </c15:fullRef>
                </c:ext>
              </c:extLst>
              <c:f>'Dados Linha'!$A$2:$A$21</c:f>
              <c:strCache>
                <c:ptCount val="1"/>
                <c:pt idx="0">
                  <c:v>LINHA 02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Linha'!$M$1:$M$21</c15:sqref>
                  </c15:fullRef>
                </c:ext>
              </c:extLst>
              <c:f>'Dados Linha'!$M$2:$M$21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1C-499F-AB22-97A61A938BA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Julho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Linha'!$A$1:$A$21</c15:sqref>
                  </c15:fullRef>
                </c:ext>
              </c:extLst>
              <c:f>'Dados Linha'!$A$2:$A$21</c:f>
              <c:strCache>
                <c:ptCount val="1"/>
                <c:pt idx="0">
                  <c:v>LINHA 02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Linha'!$O$1:$O$21</c15:sqref>
                  </c15:fullRef>
                </c:ext>
              </c:extLst>
              <c:f>'Dados Linha'!$O$2:$O$21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E4-4359-8D7B-699813D237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Agosto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Linha'!$A$1:$A$21</c15:sqref>
                  </c15:fullRef>
                </c:ext>
              </c:extLst>
              <c:f>'Dados Linha'!$A$2:$A$21</c:f>
              <c:strCache>
                <c:ptCount val="1"/>
                <c:pt idx="0">
                  <c:v>LINHA 02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Linha'!$Q$1:$Q$21</c15:sqref>
                  </c15:fullRef>
                </c:ext>
              </c:extLst>
              <c:f>'Dados Linha'!$Q$2:$Q$21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40-4A82-883F-089A448D61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Setembro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Linha'!$A$1:$A$21</c15:sqref>
                  </c15:fullRef>
                </c:ext>
              </c:extLst>
              <c:f>'Dados Linha'!$A$2:$A$21</c:f>
              <c:strCache>
                <c:ptCount val="1"/>
                <c:pt idx="0">
                  <c:v>LINHA 02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Linha'!$S$1:$S$21</c15:sqref>
                  </c15:fullRef>
                </c:ext>
              </c:extLst>
              <c:f>'Dados Linha'!$S$2:$S$21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DE-414C-A5E2-85E27E1412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Outubro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Linha'!$A$1:$A$21</c15:sqref>
                  </c15:fullRef>
                </c:ext>
              </c:extLst>
              <c:f>'Dados Linha'!$A$2:$A$21</c:f>
              <c:strCache>
                <c:ptCount val="1"/>
                <c:pt idx="0">
                  <c:v>LINHA 02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Linha'!$U$1:$U$21</c15:sqref>
                  </c15:fullRef>
                </c:ext>
              </c:extLst>
              <c:f>'Dados Linha'!$U$2:$U$21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36-4920-8B18-D31EEEAD2B7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Novembro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Linha'!$A$1:$A$21</c15:sqref>
                  </c15:fullRef>
                </c:ext>
              </c:extLst>
              <c:f>'Dados Linha'!$A$2:$A$21</c:f>
              <c:strCache>
                <c:ptCount val="1"/>
                <c:pt idx="0">
                  <c:v>LINHA 02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Linha'!$W$1:$W$21</c15:sqref>
                  </c15:fullRef>
                </c:ext>
              </c:extLst>
              <c:f>'Dados Linha'!$W$2:$W$21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45-4773-B8A8-4EDE660425B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Dezembro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Linha'!$A$1:$A$21</c15:sqref>
                  </c15:fullRef>
                </c:ext>
              </c:extLst>
              <c:f>'Dados Linha'!$A$2:$A$21</c:f>
              <c:strCache>
                <c:ptCount val="1"/>
                <c:pt idx="0">
                  <c:v>LINHA 02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Linha'!$Y$1:$Y$21</c15:sqref>
                  </c15:fullRef>
                </c:ext>
              </c:extLst>
              <c:f>'Dados Linha'!$Y$2:$Y$21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F0-41CC-8E65-442DE25F31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Janeiro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Fornecedor'!$A$2:$A$22</c:f>
              <c:numCache>
                <c:formatCode>General</c:formatCode>
                <c:ptCount val="21"/>
              </c:numCache>
            </c:numRef>
          </c:cat>
          <c:val>
            <c:numRef>
              <c:f>'Dados Fornecedor'!$C$2:$C$22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9D-4CB8-B531-D7E4A7FE744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Fevereiro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Fornecedor'!$A$2:$A$22</c:f>
              <c:numCache>
                <c:formatCode>General</c:formatCode>
                <c:ptCount val="21"/>
              </c:numCache>
            </c:numRef>
          </c:cat>
          <c:val>
            <c:numRef>
              <c:f>'Dados Fornecedor'!$E$2:$E$22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C6-40DA-9427-DB07A32DD75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Março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Fornecedor'!$A$2:$A$22</c:f>
              <c:numCache>
                <c:formatCode>General</c:formatCode>
                <c:ptCount val="21"/>
              </c:numCache>
            </c:numRef>
          </c:cat>
          <c:val>
            <c:numRef>
              <c:f>'Dados Fornecedor'!$I$2:$I$22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AA-47C1-B2D6-B7F40A5D37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Abril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Fornecedor'!$A$2:$A$22</c:f>
              <c:numCache>
                <c:formatCode>General</c:formatCode>
                <c:ptCount val="21"/>
              </c:numCache>
            </c:numRef>
          </c:cat>
          <c:val>
            <c:numRef>
              <c:f>'Dados Fornecedor'!$K$2:$K$22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E8-497E-B7DE-42F026B2EB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Maio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Fornecedor'!$A$2:$A$22</c:f>
              <c:numCache>
                <c:formatCode>General</c:formatCode>
                <c:ptCount val="21"/>
              </c:numCache>
            </c:numRef>
          </c:cat>
          <c:val>
            <c:numRef>
              <c:f>'Dados Fornecedor'!$M$2:$M$22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7E-4FE6-92A2-256439BAAB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Junho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Fornecedor'!$A$2:$A$22</c:f>
              <c:numCache>
                <c:formatCode>General</c:formatCode>
                <c:ptCount val="21"/>
              </c:numCache>
            </c:numRef>
          </c:cat>
          <c:val>
            <c:numRef>
              <c:f>'Dados Fornecedor'!$M$2:$M$22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39-45C8-97E8-DD0571943E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Julho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Fornecedor'!$A$2:$A$22</c:f>
              <c:numCache>
                <c:formatCode>General</c:formatCode>
                <c:ptCount val="21"/>
              </c:numCache>
            </c:numRef>
          </c:cat>
          <c:val>
            <c:numRef>
              <c:f>'Dados Fornecedor'!$O$2:$O$22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F-44CB-8702-643F8D2D1E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Agosto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Fornecedor'!$A$2:$A$22</c:f>
              <c:numCache>
                <c:formatCode>General</c:formatCode>
                <c:ptCount val="21"/>
              </c:numCache>
            </c:numRef>
          </c:cat>
          <c:val>
            <c:numRef>
              <c:f>'Dados Fornecedor'!$Q$2:$Q$22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D-442C-AEC1-7897D3FB586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Setembro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Fornecedor'!$A$2:$A$22</c:f>
              <c:numCache>
                <c:formatCode>General</c:formatCode>
                <c:ptCount val="21"/>
              </c:numCache>
            </c:numRef>
          </c:cat>
          <c:val>
            <c:numRef>
              <c:f>'Dados Fornecedor'!$S$2:$S$22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62-4B57-8700-479769DAD8C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Outubro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Fornecedor'!$A$2:$A$22</c:f>
              <c:numCache>
                <c:formatCode>General</c:formatCode>
                <c:ptCount val="21"/>
              </c:numCache>
            </c:numRef>
          </c:cat>
          <c:val>
            <c:numRef>
              <c:f>'Dados Fornecedor'!$U$2:$U$22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E7-4CB6-9A87-7E62917EC2E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Novembro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Fornecedor'!$A$2:$A$22</c:f>
              <c:numCache>
                <c:formatCode>General</c:formatCode>
                <c:ptCount val="21"/>
              </c:numCache>
            </c:numRef>
          </c:cat>
          <c:val>
            <c:numRef>
              <c:f>'Dados Fornecedor'!$W$2:$W$22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61-4AFE-A306-253A13E181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Dezembro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Fornecedor'!$A$2:$A$22</c:f>
              <c:numCache>
                <c:formatCode>General</c:formatCode>
                <c:ptCount val="21"/>
              </c:numCache>
            </c:numRef>
          </c:cat>
          <c:val>
            <c:numRef>
              <c:f>'Dados Fornecedor'!$Y$2:$Y$22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C-477F-885D-DE159F2DBE4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Janeiro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Terceiros'!$A$2:$A$22</c:f>
              <c:numCache>
                <c:formatCode>General</c:formatCode>
                <c:ptCount val="21"/>
              </c:numCache>
            </c:numRef>
          </c:cat>
          <c:val>
            <c:numRef>
              <c:f>'Dados Terceiros'!$C$2:$C$22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AF-4200-946F-D9D65B8261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Fevereiro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Terceiros'!$A$2:$A$22</c:f>
              <c:numCache>
                <c:formatCode>General</c:formatCode>
                <c:ptCount val="21"/>
              </c:numCache>
            </c:numRef>
          </c:cat>
          <c:val>
            <c:numRef>
              <c:f>'Dados Terceiros'!$E$2:$E$22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74-415C-9897-8E117C58A5A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Março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Terceiros'!$A$2:$A$22</c:f>
              <c:numCache>
                <c:formatCode>General</c:formatCode>
                <c:ptCount val="21"/>
              </c:numCache>
            </c:numRef>
          </c:cat>
          <c:val>
            <c:numRef>
              <c:f>'Dados Terceiros'!$G$2:$G$22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68-402E-9CE3-2356F91F1D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Abril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Terceiros'!$A$2:$A$22</c:f>
              <c:numCache>
                <c:formatCode>General</c:formatCode>
                <c:ptCount val="21"/>
              </c:numCache>
            </c:numRef>
          </c:cat>
          <c:val>
            <c:numRef>
              <c:f>'Dados Terceiros'!$I$2:$I$22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66-42BA-AFE8-AB7FF8E4767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Maio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Terceiros'!$A$2:$A$22</c:f>
              <c:numCache>
                <c:formatCode>General</c:formatCode>
                <c:ptCount val="21"/>
              </c:numCache>
            </c:numRef>
          </c:cat>
          <c:val>
            <c:numRef>
              <c:f>'Dados Terceiros'!$K$2:$K$22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4D-43A1-AD08-79391ECB625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Junho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Terceiros'!$A$2:$A$22</c:f>
              <c:numCache>
                <c:formatCode>General</c:formatCode>
                <c:ptCount val="21"/>
              </c:numCache>
            </c:numRef>
          </c:cat>
          <c:val>
            <c:numRef>
              <c:f>'Dados Terceiros'!$M$2:$M$22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0-4062-8DBF-B4415D90E0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Julho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Terceiros'!$A$2:$A$22</c:f>
              <c:numCache>
                <c:formatCode>General</c:formatCode>
                <c:ptCount val="21"/>
              </c:numCache>
            </c:numRef>
          </c:cat>
          <c:val>
            <c:numRef>
              <c:f>'Dados Terceiros'!$O$2:$O$22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2-4AE2-9757-7F2B2FBF024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Agosto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Terceiros'!$A$2:$A$22</c:f>
              <c:numCache>
                <c:formatCode>General</c:formatCode>
                <c:ptCount val="21"/>
              </c:numCache>
            </c:numRef>
          </c:cat>
          <c:val>
            <c:numRef>
              <c:f>'Dados Terceiros'!$Q$2:$Q$22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D-4940-BE3C-28EADC4BE5B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Setembro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Terceiros'!$A$2:$A$22</c:f>
              <c:numCache>
                <c:formatCode>General</c:formatCode>
                <c:ptCount val="21"/>
              </c:numCache>
            </c:numRef>
          </c:cat>
          <c:val>
            <c:numRef>
              <c:f>'Dados Terceiros'!$S$2:$S$22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7-4174-877D-B7AB5F8DD9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Outubro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Terceiros'!$A$2:$A$22</c:f>
              <c:numCache>
                <c:formatCode>General</c:formatCode>
                <c:ptCount val="21"/>
              </c:numCache>
            </c:numRef>
          </c:cat>
          <c:val>
            <c:numRef>
              <c:f>'Dados Terceiros'!$U$2:$U$22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2-4A68-9047-0D84E81C44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Novembro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Terceiros'!$W$2:$W$22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F-45BE-BE71-322FFA70C0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Dezembro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'Dados Terceiros'!$A$2:$A$22</c:f>
              <c:numCache>
                <c:formatCode>General</c:formatCode>
                <c:ptCount val="21"/>
              </c:numCache>
            </c:numRef>
          </c:cat>
          <c:val>
            <c:numRef>
              <c:f>'Dados Terceiros'!$Y$2:$Y$22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15-4D53-864B-218EBD00BC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12" Type="http://schemas.openxmlformats.org/officeDocument/2006/relationships/chart" Target="../charts/chart24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11" Type="http://schemas.openxmlformats.org/officeDocument/2006/relationships/chart" Target="../charts/chart23.xml"/><Relationship Id="rId5" Type="http://schemas.openxmlformats.org/officeDocument/2006/relationships/chart" Target="../charts/chart17.xml"/><Relationship Id="rId10" Type="http://schemas.openxmlformats.org/officeDocument/2006/relationships/chart" Target="../charts/chart2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12" Type="http://schemas.openxmlformats.org/officeDocument/2006/relationships/chart" Target="../charts/chart36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11" Type="http://schemas.openxmlformats.org/officeDocument/2006/relationships/chart" Target="../charts/chart35.xml"/><Relationship Id="rId5" Type="http://schemas.openxmlformats.org/officeDocument/2006/relationships/chart" Target="../charts/chart29.xml"/><Relationship Id="rId10" Type="http://schemas.openxmlformats.org/officeDocument/2006/relationships/chart" Target="../charts/chart34.xml"/><Relationship Id="rId4" Type="http://schemas.openxmlformats.org/officeDocument/2006/relationships/chart" Target="../charts/chart28.xml"/><Relationship Id="rId9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2</xdr:row>
      <xdr:rowOff>14287</xdr:rowOff>
    </xdr:from>
    <xdr:to>
      <xdr:col>11</xdr:col>
      <xdr:colOff>247650</xdr:colOff>
      <xdr:row>17</xdr:row>
      <xdr:rowOff>66675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</xdr:colOff>
      <xdr:row>19</xdr:row>
      <xdr:rowOff>9525</xdr:rowOff>
    </xdr:from>
    <xdr:to>
      <xdr:col>11</xdr:col>
      <xdr:colOff>276226</xdr:colOff>
      <xdr:row>34</xdr:row>
      <xdr:rowOff>61913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35</xdr:row>
      <xdr:rowOff>76200</xdr:rowOff>
    </xdr:from>
    <xdr:to>
      <xdr:col>11</xdr:col>
      <xdr:colOff>266701</xdr:colOff>
      <xdr:row>50</xdr:row>
      <xdr:rowOff>128588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9525</xdr:colOff>
      <xdr:row>51</xdr:row>
      <xdr:rowOff>133350</xdr:rowOff>
    </xdr:from>
    <xdr:to>
      <xdr:col>11</xdr:col>
      <xdr:colOff>257176</xdr:colOff>
      <xdr:row>66</xdr:row>
      <xdr:rowOff>185738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68</xdr:row>
      <xdr:rowOff>0</xdr:rowOff>
    </xdr:from>
    <xdr:to>
      <xdr:col>11</xdr:col>
      <xdr:colOff>247651</xdr:colOff>
      <xdr:row>83</xdr:row>
      <xdr:rowOff>52388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84</xdr:row>
      <xdr:rowOff>0</xdr:rowOff>
    </xdr:from>
    <xdr:to>
      <xdr:col>11</xdr:col>
      <xdr:colOff>247651</xdr:colOff>
      <xdr:row>99</xdr:row>
      <xdr:rowOff>52388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101</xdr:row>
      <xdr:rowOff>0</xdr:rowOff>
    </xdr:from>
    <xdr:to>
      <xdr:col>11</xdr:col>
      <xdr:colOff>247651</xdr:colOff>
      <xdr:row>116</xdr:row>
      <xdr:rowOff>52388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117</xdr:row>
      <xdr:rowOff>0</xdr:rowOff>
    </xdr:from>
    <xdr:to>
      <xdr:col>11</xdr:col>
      <xdr:colOff>247651</xdr:colOff>
      <xdr:row>132</xdr:row>
      <xdr:rowOff>52388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9525</xdr:colOff>
      <xdr:row>133</xdr:row>
      <xdr:rowOff>95250</xdr:rowOff>
    </xdr:from>
    <xdr:to>
      <xdr:col>11</xdr:col>
      <xdr:colOff>257176</xdr:colOff>
      <xdr:row>148</xdr:row>
      <xdr:rowOff>147638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150</xdr:row>
      <xdr:rowOff>28575</xdr:rowOff>
    </xdr:from>
    <xdr:to>
      <xdr:col>11</xdr:col>
      <xdr:colOff>247651</xdr:colOff>
      <xdr:row>165</xdr:row>
      <xdr:rowOff>80963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166</xdr:row>
      <xdr:rowOff>0</xdr:rowOff>
    </xdr:from>
    <xdr:to>
      <xdr:col>11</xdr:col>
      <xdr:colOff>247651</xdr:colOff>
      <xdr:row>181</xdr:row>
      <xdr:rowOff>52388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182</xdr:row>
      <xdr:rowOff>0</xdr:rowOff>
    </xdr:from>
    <xdr:to>
      <xdr:col>11</xdr:col>
      <xdr:colOff>247651</xdr:colOff>
      <xdr:row>197</xdr:row>
      <xdr:rowOff>52388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247651</xdr:colOff>
      <xdr:row>16</xdr:row>
      <xdr:rowOff>52388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28576</xdr:colOff>
      <xdr:row>17</xdr:row>
      <xdr:rowOff>185738</xdr:rowOff>
    </xdr:from>
    <xdr:to>
      <xdr:col>11</xdr:col>
      <xdr:colOff>276227</xdr:colOff>
      <xdr:row>33</xdr:row>
      <xdr:rowOff>47626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19051</xdr:colOff>
      <xdr:row>34</xdr:row>
      <xdr:rowOff>61913</xdr:rowOff>
    </xdr:from>
    <xdr:to>
      <xdr:col>11</xdr:col>
      <xdr:colOff>266702</xdr:colOff>
      <xdr:row>49</xdr:row>
      <xdr:rowOff>114301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9526</xdr:colOff>
      <xdr:row>50</xdr:row>
      <xdr:rowOff>119063</xdr:rowOff>
    </xdr:from>
    <xdr:to>
      <xdr:col>11</xdr:col>
      <xdr:colOff>257177</xdr:colOff>
      <xdr:row>65</xdr:row>
      <xdr:rowOff>171451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66</xdr:row>
      <xdr:rowOff>176213</xdr:rowOff>
    </xdr:from>
    <xdr:to>
      <xdr:col>11</xdr:col>
      <xdr:colOff>247652</xdr:colOff>
      <xdr:row>82</xdr:row>
      <xdr:rowOff>38101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</xdr:colOff>
      <xdr:row>82</xdr:row>
      <xdr:rowOff>176213</xdr:rowOff>
    </xdr:from>
    <xdr:to>
      <xdr:col>11</xdr:col>
      <xdr:colOff>247652</xdr:colOff>
      <xdr:row>98</xdr:row>
      <xdr:rowOff>38101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</xdr:colOff>
      <xdr:row>99</xdr:row>
      <xdr:rowOff>176213</xdr:rowOff>
    </xdr:from>
    <xdr:to>
      <xdr:col>11</xdr:col>
      <xdr:colOff>247652</xdr:colOff>
      <xdr:row>115</xdr:row>
      <xdr:rowOff>38101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</xdr:colOff>
      <xdr:row>115</xdr:row>
      <xdr:rowOff>176213</xdr:rowOff>
    </xdr:from>
    <xdr:to>
      <xdr:col>11</xdr:col>
      <xdr:colOff>247652</xdr:colOff>
      <xdr:row>131</xdr:row>
      <xdr:rowOff>38101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132</xdr:row>
      <xdr:rowOff>80963</xdr:rowOff>
    </xdr:from>
    <xdr:to>
      <xdr:col>11</xdr:col>
      <xdr:colOff>257177</xdr:colOff>
      <xdr:row>147</xdr:row>
      <xdr:rowOff>133351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</xdr:colOff>
      <xdr:row>149</xdr:row>
      <xdr:rowOff>14288</xdr:rowOff>
    </xdr:from>
    <xdr:to>
      <xdr:col>11</xdr:col>
      <xdr:colOff>247652</xdr:colOff>
      <xdr:row>164</xdr:row>
      <xdr:rowOff>66676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1</xdr:colOff>
      <xdr:row>164</xdr:row>
      <xdr:rowOff>176213</xdr:rowOff>
    </xdr:from>
    <xdr:to>
      <xdr:col>11</xdr:col>
      <xdr:colOff>247652</xdr:colOff>
      <xdr:row>180</xdr:row>
      <xdr:rowOff>38101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</xdr:colOff>
      <xdr:row>180</xdr:row>
      <xdr:rowOff>176213</xdr:rowOff>
    </xdr:from>
    <xdr:to>
      <xdr:col>11</xdr:col>
      <xdr:colOff>247652</xdr:colOff>
      <xdr:row>196</xdr:row>
      <xdr:rowOff>38101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247651</xdr:colOff>
      <xdr:row>16</xdr:row>
      <xdr:rowOff>52388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28576</xdr:colOff>
      <xdr:row>17</xdr:row>
      <xdr:rowOff>185738</xdr:rowOff>
    </xdr:from>
    <xdr:to>
      <xdr:col>11</xdr:col>
      <xdr:colOff>276227</xdr:colOff>
      <xdr:row>33</xdr:row>
      <xdr:rowOff>47626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19051</xdr:colOff>
      <xdr:row>34</xdr:row>
      <xdr:rowOff>61913</xdr:rowOff>
    </xdr:from>
    <xdr:to>
      <xdr:col>11</xdr:col>
      <xdr:colOff>266702</xdr:colOff>
      <xdr:row>49</xdr:row>
      <xdr:rowOff>114301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9526</xdr:colOff>
      <xdr:row>50</xdr:row>
      <xdr:rowOff>119063</xdr:rowOff>
    </xdr:from>
    <xdr:to>
      <xdr:col>11</xdr:col>
      <xdr:colOff>257177</xdr:colOff>
      <xdr:row>65</xdr:row>
      <xdr:rowOff>171451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66</xdr:row>
      <xdr:rowOff>176213</xdr:rowOff>
    </xdr:from>
    <xdr:to>
      <xdr:col>11</xdr:col>
      <xdr:colOff>247652</xdr:colOff>
      <xdr:row>82</xdr:row>
      <xdr:rowOff>38101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</xdr:colOff>
      <xdr:row>82</xdr:row>
      <xdr:rowOff>176213</xdr:rowOff>
    </xdr:from>
    <xdr:to>
      <xdr:col>11</xdr:col>
      <xdr:colOff>247652</xdr:colOff>
      <xdr:row>98</xdr:row>
      <xdr:rowOff>38101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</xdr:colOff>
      <xdr:row>99</xdr:row>
      <xdr:rowOff>176213</xdr:rowOff>
    </xdr:from>
    <xdr:to>
      <xdr:col>11</xdr:col>
      <xdr:colOff>247652</xdr:colOff>
      <xdr:row>115</xdr:row>
      <xdr:rowOff>38101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</xdr:colOff>
      <xdr:row>115</xdr:row>
      <xdr:rowOff>176213</xdr:rowOff>
    </xdr:from>
    <xdr:to>
      <xdr:col>11</xdr:col>
      <xdr:colOff>247652</xdr:colOff>
      <xdr:row>131</xdr:row>
      <xdr:rowOff>38101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132</xdr:row>
      <xdr:rowOff>80963</xdr:rowOff>
    </xdr:from>
    <xdr:to>
      <xdr:col>11</xdr:col>
      <xdr:colOff>257177</xdr:colOff>
      <xdr:row>147</xdr:row>
      <xdr:rowOff>133351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</xdr:colOff>
      <xdr:row>149</xdr:row>
      <xdr:rowOff>14288</xdr:rowOff>
    </xdr:from>
    <xdr:to>
      <xdr:col>11</xdr:col>
      <xdr:colOff>247652</xdr:colOff>
      <xdr:row>164</xdr:row>
      <xdr:rowOff>66676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1</xdr:colOff>
      <xdr:row>164</xdr:row>
      <xdr:rowOff>176213</xdr:rowOff>
    </xdr:from>
    <xdr:to>
      <xdr:col>11</xdr:col>
      <xdr:colOff>247652</xdr:colOff>
      <xdr:row>180</xdr:row>
      <xdr:rowOff>38101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</xdr:colOff>
      <xdr:row>180</xdr:row>
      <xdr:rowOff>176213</xdr:rowOff>
    </xdr:from>
    <xdr:to>
      <xdr:col>11</xdr:col>
      <xdr:colOff>247652</xdr:colOff>
      <xdr:row>196</xdr:row>
      <xdr:rowOff>38101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Usuarios" displayName="Usuarios" ref="A1:D5" totalsRowShown="0">
  <autoFilter ref="A1:D5" xr:uid="{00000000-0009-0000-0100-000002000000}"/>
  <tableColumns count="4">
    <tableColumn id="1" xr3:uid="{00000000-0010-0000-0000-000001000000}" name="ID"/>
    <tableColumn id="2" xr3:uid="{00000000-0010-0000-0000-000002000000}" name="Tipo"/>
    <tableColumn id="3" xr3:uid="{00000000-0010-0000-0000-000003000000}" name="Usuário"/>
    <tableColumn id="4" xr3:uid="{00000000-0010-0000-0000-000004000000}" name="Senha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0">
    <tabColor theme="2" tint="-0.249977111117893"/>
  </sheetPr>
  <dimension ref="A1:D3"/>
  <sheetViews>
    <sheetView workbookViewId="0">
      <selection activeCell="D9" sqref="D9"/>
    </sheetView>
  </sheetViews>
  <sheetFormatPr defaultRowHeight="15" x14ac:dyDescent="0.25"/>
  <cols>
    <col min="1" max="1" width="10.28515625" customWidth="1"/>
    <col min="2" max="2" width="8.42578125" customWidth="1"/>
    <col min="3" max="3" width="36.140625" customWidth="1"/>
    <col min="4" max="4" width="15.42578125" customWidth="1"/>
  </cols>
  <sheetData>
    <row r="1" spans="1:4" x14ac:dyDescent="0.25">
      <c r="A1" t="s">
        <v>31</v>
      </c>
      <c r="B1" t="s">
        <v>30</v>
      </c>
      <c r="C1" t="s">
        <v>28</v>
      </c>
      <c r="D1" t="s">
        <v>29</v>
      </c>
    </row>
    <row r="2" spans="1:4" x14ac:dyDescent="0.25">
      <c r="A2">
        <v>1</v>
      </c>
      <c r="B2" t="s">
        <v>32</v>
      </c>
      <c r="C2" t="s">
        <v>34</v>
      </c>
      <c r="D2" s="32" t="s">
        <v>35</v>
      </c>
    </row>
    <row r="3" spans="1:4" x14ac:dyDescent="0.25">
      <c r="A3">
        <v>2</v>
      </c>
      <c r="B3" t="s">
        <v>33</v>
      </c>
      <c r="C3" t="s">
        <v>45</v>
      </c>
      <c r="D3">
        <v>123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 filterMode="1">
    <tabColor theme="2" tint="-0.249977111117893"/>
    <pageSetUpPr autoPageBreaks="0"/>
  </sheetPr>
  <dimension ref="A1:K267"/>
  <sheetViews>
    <sheetView tabSelected="1" zoomScaleNormal="100" workbookViewId="0">
      <selection activeCell="G5" sqref="G5"/>
    </sheetView>
  </sheetViews>
  <sheetFormatPr defaultRowHeight="15" x14ac:dyDescent="0.25"/>
  <cols>
    <col min="1" max="1" width="13.42578125" style="40" customWidth="1"/>
    <col min="2" max="2" width="15" customWidth="1"/>
    <col min="3" max="3" width="7.7109375" customWidth="1"/>
    <col min="4" max="4" width="12.42578125" bestFit="1" customWidth="1"/>
    <col min="5" max="5" width="25.28515625" bestFit="1" customWidth="1"/>
    <col min="6" max="6" width="23.42578125" customWidth="1"/>
    <col min="7" max="7" width="39.7109375" customWidth="1"/>
    <col min="8" max="8" width="12.140625" bestFit="1" customWidth="1"/>
    <col min="9" max="9" width="30.28515625" style="34" customWidth="1"/>
    <col min="10" max="10" width="15.7109375" style="34" customWidth="1"/>
    <col min="11" max="11" width="72.28515625" style="35" customWidth="1"/>
    <col min="12" max="12" width="21" customWidth="1"/>
    <col min="13" max="13" width="6.85546875" customWidth="1"/>
  </cols>
  <sheetData>
    <row r="1" spans="1:11" ht="26.25" x14ac:dyDescent="0.4">
      <c r="A1" s="145" t="s">
        <v>41</v>
      </c>
      <c r="B1" s="146"/>
      <c r="C1" s="146"/>
      <c r="D1" s="146"/>
      <c r="E1" s="146"/>
      <c r="F1" s="146"/>
      <c r="G1" s="146"/>
      <c r="H1" s="146"/>
      <c r="I1" s="146"/>
      <c r="J1" s="147"/>
    </row>
    <row r="2" spans="1:11" ht="15" customHeight="1" x14ac:dyDescent="0.25">
      <c r="A2" s="142"/>
      <c r="B2" s="143"/>
      <c r="C2" s="143"/>
      <c r="D2" s="143"/>
      <c r="E2" s="143"/>
      <c r="F2" s="143"/>
      <c r="G2" s="143"/>
      <c r="H2" s="143"/>
      <c r="I2" s="143"/>
      <c r="J2" s="144"/>
    </row>
    <row r="3" spans="1:11" ht="15" customHeight="1" x14ac:dyDescent="0.25">
      <c r="A3" s="38" t="s">
        <v>0</v>
      </c>
      <c r="B3" s="2" t="s">
        <v>1</v>
      </c>
      <c r="C3" s="2" t="s">
        <v>2</v>
      </c>
      <c r="D3" s="2" t="s">
        <v>26</v>
      </c>
      <c r="E3" s="2" t="s">
        <v>3</v>
      </c>
      <c r="F3" s="2" t="s">
        <v>4</v>
      </c>
      <c r="G3" s="2" t="s">
        <v>5</v>
      </c>
      <c r="H3" s="33" t="s">
        <v>6</v>
      </c>
      <c r="I3" s="34" t="s">
        <v>38</v>
      </c>
      <c r="J3" s="34" t="s">
        <v>39</v>
      </c>
      <c r="K3" s="35" t="s">
        <v>37</v>
      </c>
    </row>
    <row r="4" spans="1:11" x14ac:dyDescent="0.25">
      <c r="A4" s="38" t="s">
        <v>42</v>
      </c>
      <c r="B4" s="36">
        <v>515</v>
      </c>
      <c r="C4" s="2" t="s">
        <v>7</v>
      </c>
      <c r="D4" s="36">
        <v>1010</v>
      </c>
      <c r="E4" s="2" t="s">
        <v>47</v>
      </c>
      <c r="F4" s="2" t="s">
        <v>48</v>
      </c>
      <c r="G4" s="2" t="s">
        <v>49</v>
      </c>
      <c r="H4" s="33" t="s">
        <v>46</v>
      </c>
      <c r="I4" s="2" t="s">
        <v>52</v>
      </c>
      <c r="J4" s="34" t="s">
        <v>40</v>
      </c>
    </row>
    <row r="5" spans="1:11" x14ac:dyDescent="0.25">
      <c r="A5" s="38" t="s">
        <v>36</v>
      </c>
      <c r="B5" s="36">
        <v>646</v>
      </c>
      <c r="C5" s="2" t="s">
        <v>7</v>
      </c>
      <c r="D5" s="36">
        <v>10</v>
      </c>
      <c r="E5" s="2" t="s">
        <v>21</v>
      </c>
      <c r="F5" s="2" t="s">
        <v>50</v>
      </c>
      <c r="G5" s="2" t="s">
        <v>51</v>
      </c>
      <c r="H5" s="33" t="s">
        <v>46</v>
      </c>
      <c r="I5" s="2" t="s">
        <v>52</v>
      </c>
      <c r="J5" s="34" t="s">
        <v>40</v>
      </c>
    </row>
    <row r="6" spans="1:11" x14ac:dyDescent="0.25">
      <c r="A6" s="41"/>
      <c r="B6" s="2"/>
      <c r="C6" s="2"/>
      <c r="D6" s="2"/>
      <c r="E6" s="2"/>
      <c r="F6" s="2"/>
      <c r="G6" s="2"/>
      <c r="H6" s="33"/>
    </row>
    <row r="7" spans="1:11" x14ac:dyDescent="0.25">
      <c r="A7" s="41"/>
      <c r="B7" s="2"/>
      <c r="C7" s="2"/>
      <c r="D7" s="2"/>
      <c r="E7" s="2"/>
      <c r="F7" s="2"/>
      <c r="G7" s="2"/>
      <c r="H7" s="33"/>
    </row>
    <row r="8" spans="1:11" x14ac:dyDescent="0.25">
      <c r="A8" s="41"/>
      <c r="B8" s="2"/>
      <c r="C8" s="2"/>
      <c r="D8" s="2"/>
      <c r="E8" s="2"/>
      <c r="F8" s="2"/>
      <c r="G8" s="2"/>
      <c r="H8" s="33"/>
    </row>
    <row r="9" spans="1:11" x14ac:dyDescent="0.25">
      <c r="A9" s="41"/>
      <c r="B9" s="2"/>
      <c r="C9" s="2"/>
      <c r="D9" s="2"/>
      <c r="E9" s="2"/>
      <c r="F9" s="2"/>
      <c r="G9" s="2"/>
      <c r="H9" s="33"/>
    </row>
    <row r="10" spans="1:11" x14ac:dyDescent="0.25">
      <c r="A10" s="41"/>
      <c r="B10" s="2"/>
      <c r="C10" s="2"/>
      <c r="D10" s="2"/>
      <c r="E10" s="2"/>
      <c r="F10" s="2"/>
      <c r="G10" s="2"/>
      <c r="H10" s="33"/>
    </row>
    <row r="11" spans="1:11" x14ac:dyDescent="0.25">
      <c r="A11" s="41"/>
      <c r="B11" s="2"/>
      <c r="C11" s="2"/>
      <c r="D11" s="2"/>
      <c r="E11" s="2"/>
      <c r="F11" s="2"/>
      <c r="G11" s="2"/>
      <c r="H11" s="33"/>
    </row>
    <row r="12" spans="1:11" x14ac:dyDescent="0.25">
      <c r="A12" s="41"/>
      <c r="B12" s="2"/>
      <c r="C12" s="2"/>
      <c r="D12" s="2"/>
      <c r="E12" s="2"/>
      <c r="F12" s="2"/>
      <c r="G12" s="2"/>
      <c r="H12" s="33"/>
    </row>
    <row r="13" spans="1:11" x14ac:dyDescent="0.25">
      <c r="A13" s="41"/>
      <c r="B13" s="2"/>
      <c r="C13" s="2"/>
      <c r="D13" s="2"/>
      <c r="E13" s="2"/>
      <c r="F13" s="2"/>
      <c r="G13" s="2"/>
      <c r="H13" s="33"/>
    </row>
    <row r="14" spans="1:11" x14ac:dyDescent="0.25">
      <c r="A14" s="41"/>
      <c r="B14" s="2"/>
      <c r="C14" s="2"/>
      <c r="D14" s="2"/>
      <c r="E14" s="2"/>
      <c r="F14" s="2"/>
      <c r="G14" s="2"/>
      <c r="H14" s="33"/>
    </row>
    <row r="15" spans="1:11" x14ac:dyDescent="0.25">
      <c r="A15" s="41"/>
      <c r="B15" s="2"/>
      <c r="C15" s="2"/>
      <c r="D15" s="2"/>
      <c r="E15" s="2"/>
      <c r="F15" s="2"/>
      <c r="G15" s="2"/>
      <c r="H15" s="33"/>
    </row>
    <row r="16" spans="1:11" x14ac:dyDescent="0.25">
      <c r="A16" s="41"/>
      <c r="B16" s="2"/>
      <c r="C16" s="2"/>
      <c r="D16" s="2"/>
      <c r="E16" s="2"/>
      <c r="F16" s="2"/>
      <c r="G16" s="2"/>
      <c r="H16" s="33"/>
    </row>
    <row r="17" spans="1:8" x14ac:dyDescent="0.25">
      <c r="A17" s="41"/>
      <c r="B17" s="2"/>
      <c r="C17" s="2"/>
      <c r="D17" s="2"/>
      <c r="E17" s="2"/>
      <c r="F17" s="2"/>
      <c r="G17" s="2"/>
      <c r="H17" s="33"/>
    </row>
    <row r="18" spans="1:8" x14ac:dyDescent="0.25">
      <c r="A18" s="41"/>
      <c r="B18" s="2"/>
      <c r="C18" s="2"/>
      <c r="D18" s="2"/>
      <c r="E18" s="2"/>
      <c r="F18" s="2"/>
      <c r="G18" s="2"/>
      <c r="H18" s="33"/>
    </row>
    <row r="19" spans="1:8" x14ac:dyDescent="0.25">
      <c r="A19" s="41"/>
      <c r="B19" s="2"/>
      <c r="C19" s="2"/>
      <c r="D19" s="2"/>
      <c r="E19" s="2"/>
      <c r="F19" s="2"/>
      <c r="G19" s="2"/>
      <c r="H19" s="33"/>
    </row>
    <row r="20" spans="1:8" x14ac:dyDescent="0.25">
      <c r="A20" s="41"/>
      <c r="B20" s="2"/>
      <c r="C20" s="2"/>
      <c r="D20" s="2"/>
      <c r="E20" s="2"/>
      <c r="F20" s="2"/>
      <c r="G20" s="2"/>
      <c r="H20" s="33"/>
    </row>
    <row r="21" spans="1:8" x14ac:dyDescent="0.25">
      <c r="A21" s="41"/>
      <c r="B21" s="2"/>
      <c r="C21" s="2"/>
      <c r="D21" s="2"/>
      <c r="E21" s="2"/>
      <c r="F21" s="2"/>
      <c r="G21" s="2"/>
      <c r="H21" s="33"/>
    </row>
    <row r="22" spans="1:8" x14ac:dyDescent="0.25">
      <c r="A22" s="41"/>
      <c r="B22" s="2"/>
      <c r="C22" s="2"/>
      <c r="D22" s="2"/>
      <c r="E22" s="2"/>
      <c r="F22" s="2"/>
      <c r="G22" s="2"/>
      <c r="H22" s="33"/>
    </row>
    <row r="23" spans="1:8" x14ac:dyDescent="0.25">
      <c r="A23" s="41"/>
      <c r="B23" s="2"/>
      <c r="C23" s="2"/>
      <c r="D23" s="2"/>
      <c r="E23" s="2"/>
      <c r="F23" s="2"/>
      <c r="G23" s="2"/>
      <c r="H23" s="33"/>
    </row>
    <row r="24" spans="1:8" x14ac:dyDescent="0.25">
      <c r="A24" s="41"/>
      <c r="B24" s="2"/>
      <c r="C24" s="2"/>
      <c r="D24" s="2"/>
      <c r="E24" s="2"/>
      <c r="F24" s="2"/>
      <c r="G24" s="2"/>
      <c r="H24" s="33"/>
    </row>
    <row r="25" spans="1:8" x14ac:dyDescent="0.25">
      <c r="A25" s="41"/>
      <c r="B25" s="2"/>
      <c r="C25" s="2"/>
      <c r="D25" s="2"/>
      <c r="E25" s="2"/>
      <c r="F25" s="2"/>
      <c r="G25" s="2"/>
      <c r="H25" s="33"/>
    </row>
    <row r="26" spans="1:8" x14ac:dyDescent="0.25">
      <c r="A26" s="41"/>
      <c r="B26" s="2"/>
      <c r="C26" s="2"/>
      <c r="D26" s="2"/>
      <c r="E26" s="2"/>
      <c r="F26" s="2"/>
      <c r="G26" s="2"/>
      <c r="H26" s="33"/>
    </row>
    <row r="27" spans="1:8" x14ac:dyDescent="0.25">
      <c r="A27" s="41"/>
      <c r="B27" s="2"/>
      <c r="C27" s="2"/>
      <c r="D27" s="2"/>
      <c r="E27" s="2"/>
      <c r="F27" s="2"/>
      <c r="G27" s="2"/>
      <c r="H27" s="33"/>
    </row>
    <row r="28" spans="1:8" x14ac:dyDescent="0.25">
      <c r="A28" s="41"/>
      <c r="B28" s="2"/>
      <c r="C28" s="2"/>
      <c r="D28" s="2"/>
      <c r="E28" s="2"/>
      <c r="F28" s="2"/>
      <c r="G28" s="2"/>
      <c r="H28" s="33"/>
    </row>
    <row r="29" spans="1:8" x14ac:dyDescent="0.25">
      <c r="A29" s="41"/>
      <c r="B29" s="2"/>
      <c r="C29" s="2"/>
      <c r="D29" s="2"/>
      <c r="E29" s="2"/>
      <c r="F29" s="2"/>
      <c r="G29" s="2"/>
      <c r="H29" s="33"/>
    </row>
    <row r="30" spans="1:8" x14ac:dyDescent="0.25">
      <c r="A30" s="41"/>
      <c r="B30" s="2"/>
      <c r="C30" s="2"/>
      <c r="D30" s="2"/>
      <c r="E30" s="2"/>
      <c r="F30" s="2"/>
      <c r="G30" s="2"/>
      <c r="H30" s="33"/>
    </row>
    <row r="31" spans="1:8" x14ac:dyDescent="0.25">
      <c r="A31" s="41"/>
      <c r="B31" s="2"/>
      <c r="C31" s="2"/>
      <c r="D31" s="2"/>
      <c r="E31" s="2"/>
      <c r="F31" s="2"/>
      <c r="G31" s="2"/>
      <c r="H31" s="33"/>
    </row>
    <row r="32" spans="1:8" x14ac:dyDescent="0.25">
      <c r="A32" s="41"/>
      <c r="B32" s="2"/>
      <c r="C32" s="2"/>
      <c r="D32" s="2"/>
      <c r="E32" s="2"/>
      <c r="F32" s="2"/>
      <c r="G32" s="2"/>
      <c r="H32" s="33"/>
    </row>
    <row r="33" spans="1:8" x14ac:dyDescent="0.25">
      <c r="A33" s="41"/>
      <c r="B33" s="2"/>
      <c r="C33" s="2"/>
      <c r="D33" s="2"/>
      <c r="E33" s="2"/>
      <c r="F33" s="2"/>
      <c r="G33" s="2"/>
      <c r="H33" s="33"/>
    </row>
    <row r="34" spans="1:8" x14ac:dyDescent="0.25">
      <c r="A34" s="41"/>
      <c r="B34" s="2"/>
      <c r="C34" s="2"/>
      <c r="D34" s="2"/>
      <c r="E34" s="2"/>
      <c r="F34" s="2"/>
      <c r="G34" s="2"/>
      <c r="H34" s="33"/>
    </row>
    <row r="35" spans="1:8" x14ac:dyDescent="0.25">
      <c r="A35" s="41"/>
      <c r="B35" s="2"/>
      <c r="C35" s="2"/>
      <c r="D35" s="2"/>
      <c r="E35" s="2"/>
      <c r="F35" s="2"/>
      <c r="G35" s="2"/>
      <c r="H35" s="33"/>
    </row>
    <row r="36" spans="1:8" x14ac:dyDescent="0.25">
      <c r="A36" s="41"/>
      <c r="B36" s="2"/>
      <c r="C36" s="2"/>
      <c r="D36" s="2"/>
      <c r="E36" s="2"/>
      <c r="F36" s="2"/>
      <c r="G36" s="2"/>
      <c r="H36" s="33"/>
    </row>
    <row r="37" spans="1:8" x14ac:dyDescent="0.25">
      <c r="A37" s="41"/>
      <c r="B37" s="2"/>
      <c r="C37" s="2"/>
      <c r="D37" s="2"/>
      <c r="E37" s="2"/>
      <c r="F37" s="2"/>
      <c r="G37" s="2"/>
      <c r="H37" s="33"/>
    </row>
    <row r="38" spans="1:8" x14ac:dyDescent="0.25">
      <c r="A38" s="41"/>
      <c r="B38" s="2"/>
      <c r="C38" s="2"/>
      <c r="D38" s="2"/>
      <c r="E38" s="2"/>
      <c r="F38" s="2"/>
      <c r="G38" s="2"/>
      <c r="H38" s="33"/>
    </row>
    <row r="39" spans="1:8" x14ac:dyDescent="0.25">
      <c r="A39" s="41"/>
      <c r="B39" s="2"/>
      <c r="C39" s="2"/>
      <c r="D39" s="2"/>
      <c r="E39" s="2"/>
      <c r="F39" s="2"/>
      <c r="G39" s="2"/>
      <c r="H39" s="33"/>
    </row>
    <row r="40" spans="1:8" x14ac:dyDescent="0.25">
      <c r="A40" s="41"/>
      <c r="B40" s="2"/>
      <c r="C40" s="2"/>
      <c r="D40" s="2"/>
      <c r="E40" s="2"/>
      <c r="F40" s="2"/>
      <c r="G40" s="2"/>
      <c r="H40" s="33"/>
    </row>
    <row r="41" spans="1:8" x14ac:dyDescent="0.25">
      <c r="A41" s="41"/>
      <c r="B41" s="2"/>
      <c r="C41" s="2"/>
      <c r="D41" s="2"/>
      <c r="E41" s="2"/>
      <c r="F41" s="2"/>
      <c r="G41" s="2"/>
      <c r="H41" s="33"/>
    </row>
    <row r="42" spans="1:8" x14ac:dyDescent="0.25">
      <c r="A42" s="41"/>
      <c r="B42" s="2"/>
      <c r="C42" s="2"/>
      <c r="D42" s="2"/>
      <c r="E42" s="2"/>
      <c r="F42" s="2"/>
      <c r="G42" s="2"/>
      <c r="H42" s="33"/>
    </row>
    <row r="43" spans="1:8" x14ac:dyDescent="0.25">
      <c r="A43" s="41"/>
      <c r="B43" s="2"/>
      <c r="C43" s="2"/>
      <c r="D43" s="2"/>
      <c r="E43" s="2"/>
      <c r="F43" s="2"/>
      <c r="G43" s="2"/>
      <c r="H43" s="33"/>
    </row>
    <row r="44" spans="1:8" x14ac:dyDescent="0.25">
      <c r="A44" s="41"/>
      <c r="B44" s="2"/>
      <c r="C44" s="2"/>
      <c r="D44" s="2"/>
      <c r="E44" s="2"/>
      <c r="F44" s="2"/>
      <c r="G44" s="2"/>
      <c r="H44" s="33"/>
    </row>
    <row r="45" spans="1:8" x14ac:dyDescent="0.25">
      <c r="A45" s="41"/>
      <c r="B45" s="2"/>
      <c r="C45" s="2"/>
      <c r="D45" s="2"/>
      <c r="E45" s="2"/>
      <c r="F45" s="2"/>
      <c r="G45" s="2"/>
      <c r="H45" s="33"/>
    </row>
    <row r="46" spans="1:8" x14ac:dyDescent="0.25">
      <c r="A46" s="41"/>
      <c r="B46" s="2"/>
      <c r="C46" s="2"/>
      <c r="D46" s="2"/>
      <c r="E46" s="2"/>
      <c r="F46" s="2"/>
      <c r="G46" s="2"/>
      <c r="H46" s="33"/>
    </row>
    <row r="47" spans="1:8" x14ac:dyDescent="0.25">
      <c r="A47" s="41"/>
      <c r="B47" s="2"/>
      <c r="C47" s="2"/>
      <c r="D47" s="2"/>
      <c r="E47" s="2"/>
      <c r="F47" s="2"/>
      <c r="G47" s="2"/>
      <c r="H47" s="33"/>
    </row>
    <row r="48" spans="1:8" x14ac:dyDescent="0.25">
      <c r="A48" s="41"/>
      <c r="B48" s="2"/>
      <c r="C48" s="2"/>
      <c r="D48" s="2"/>
      <c r="E48" s="2"/>
      <c r="F48" s="2"/>
      <c r="G48" s="2"/>
      <c r="H48" s="33"/>
    </row>
    <row r="49" spans="1:8" x14ac:dyDescent="0.25">
      <c r="A49" s="41"/>
      <c r="B49" s="2"/>
      <c r="C49" s="2"/>
      <c r="D49" s="2"/>
      <c r="E49" s="2"/>
      <c r="F49" s="2"/>
      <c r="G49" s="2"/>
      <c r="H49" s="33"/>
    </row>
    <row r="50" spans="1:8" x14ac:dyDescent="0.25">
      <c r="A50" s="41"/>
      <c r="B50" s="2"/>
      <c r="C50" s="2"/>
      <c r="D50" s="2"/>
      <c r="E50" s="2"/>
      <c r="F50" s="2"/>
      <c r="G50" s="2"/>
      <c r="H50" s="33"/>
    </row>
    <row r="51" spans="1:8" x14ac:dyDescent="0.25">
      <c r="A51" s="41"/>
      <c r="B51" s="2"/>
      <c r="C51" s="2"/>
      <c r="D51" s="2"/>
      <c r="E51" s="2"/>
      <c r="F51" s="2"/>
      <c r="G51" s="2"/>
      <c r="H51" s="33"/>
    </row>
    <row r="52" spans="1:8" x14ac:dyDescent="0.25">
      <c r="A52" s="41"/>
      <c r="B52" s="2"/>
      <c r="C52" s="2"/>
      <c r="D52" s="2"/>
      <c r="E52" s="2"/>
      <c r="F52" s="2"/>
      <c r="G52" s="2"/>
      <c r="H52" s="33"/>
    </row>
    <row r="53" spans="1:8" x14ac:dyDescent="0.25">
      <c r="A53" s="41"/>
      <c r="B53" s="2"/>
      <c r="C53" s="2"/>
      <c r="D53" s="2"/>
      <c r="E53" s="2"/>
      <c r="F53" s="2"/>
      <c r="G53" s="2"/>
      <c r="H53" s="33"/>
    </row>
    <row r="54" spans="1:8" x14ac:dyDescent="0.25">
      <c r="A54" s="41"/>
      <c r="B54" s="2"/>
      <c r="C54" s="2"/>
      <c r="D54" s="2"/>
      <c r="E54" s="2"/>
      <c r="F54" s="2"/>
      <c r="G54" s="2"/>
      <c r="H54" s="33"/>
    </row>
    <row r="55" spans="1:8" x14ac:dyDescent="0.25">
      <c r="A55" s="41"/>
      <c r="B55" s="2"/>
      <c r="C55" s="2"/>
      <c r="D55" s="2"/>
      <c r="E55" s="2"/>
      <c r="F55" s="2"/>
      <c r="G55" s="2"/>
      <c r="H55" s="33"/>
    </row>
    <row r="56" spans="1:8" x14ac:dyDescent="0.25">
      <c r="A56" s="41"/>
      <c r="B56" s="2"/>
      <c r="C56" s="2"/>
      <c r="D56" s="2"/>
      <c r="E56" s="2"/>
      <c r="F56" s="2"/>
      <c r="G56" s="2"/>
      <c r="H56" s="33"/>
    </row>
    <row r="57" spans="1:8" x14ac:dyDescent="0.25">
      <c r="A57" s="41"/>
      <c r="B57" s="2"/>
      <c r="C57" s="2"/>
      <c r="D57" s="2"/>
      <c r="E57" s="2"/>
      <c r="F57" s="2"/>
      <c r="G57" s="2"/>
      <c r="H57" s="33"/>
    </row>
    <row r="58" spans="1:8" x14ac:dyDescent="0.25">
      <c r="A58" s="41"/>
      <c r="B58" s="2"/>
      <c r="C58" s="2"/>
      <c r="D58" s="2"/>
      <c r="E58" s="2"/>
      <c r="F58" s="2"/>
      <c r="G58" s="2"/>
      <c r="H58" s="33"/>
    </row>
    <row r="59" spans="1:8" x14ac:dyDescent="0.25">
      <c r="A59" s="41"/>
      <c r="B59" s="2"/>
      <c r="C59" s="2"/>
      <c r="D59" s="2"/>
      <c r="E59" s="2"/>
      <c r="F59" s="2"/>
      <c r="G59" s="2"/>
      <c r="H59" s="33"/>
    </row>
    <row r="60" spans="1:8" x14ac:dyDescent="0.25">
      <c r="A60" s="41"/>
      <c r="B60" s="2"/>
      <c r="C60" s="2"/>
      <c r="D60" s="2"/>
      <c r="E60" s="2"/>
      <c r="F60" s="2"/>
      <c r="G60" s="2"/>
      <c r="H60" s="33"/>
    </row>
    <row r="61" spans="1:8" x14ac:dyDescent="0.25">
      <c r="A61" s="41"/>
      <c r="B61" s="2"/>
      <c r="C61" s="2"/>
      <c r="D61" s="2"/>
      <c r="E61" s="2"/>
      <c r="F61" s="2"/>
      <c r="G61" s="2"/>
      <c r="H61" s="33"/>
    </row>
    <row r="62" spans="1:8" x14ac:dyDescent="0.25">
      <c r="A62" s="41"/>
      <c r="B62" s="2"/>
      <c r="C62" s="2"/>
      <c r="D62" s="2"/>
      <c r="E62" s="2"/>
      <c r="F62" s="2"/>
      <c r="G62" s="2"/>
      <c r="H62" s="33"/>
    </row>
    <row r="63" spans="1:8" x14ac:dyDescent="0.25">
      <c r="A63" s="41"/>
      <c r="B63" s="2"/>
      <c r="C63" s="2"/>
      <c r="D63" s="2"/>
      <c r="E63" s="2"/>
      <c r="F63" s="2"/>
      <c r="G63" s="2"/>
      <c r="H63" s="33"/>
    </row>
    <row r="64" spans="1:8" x14ac:dyDescent="0.25">
      <c r="A64" s="41"/>
      <c r="B64" s="2"/>
      <c r="C64" s="2"/>
      <c r="D64" s="2"/>
      <c r="E64" s="2"/>
      <c r="F64" s="2"/>
      <c r="G64" s="2"/>
      <c r="H64" s="33"/>
    </row>
    <row r="65" spans="1:8" x14ac:dyDescent="0.25">
      <c r="A65" s="41"/>
      <c r="B65" s="2"/>
      <c r="C65" s="2"/>
      <c r="D65" s="2"/>
      <c r="E65" s="2"/>
      <c r="F65" s="2"/>
      <c r="G65" s="2"/>
      <c r="H65" s="33"/>
    </row>
    <row r="66" spans="1:8" x14ac:dyDescent="0.25">
      <c r="A66" s="41"/>
      <c r="B66" s="2"/>
      <c r="C66" s="2"/>
      <c r="D66" s="2"/>
      <c r="E66" s="2"/>
      <c r="F66" s="2"/>
      <c r="G66" s="2"/>
      <c r="H66" s="33"/>
    </row>
    <row r="67" spans="1:8" x14ac:dyDescent="0.25">
      <c r="A67" s="41"/>
      <c r="B67" s="2"/>
      <c r="C67" s="2"/>
      <c r="D67" s="2"/>
      <c r="E67" s="2"/>
      <c r="F67" s="2"/>
      <c r="G67" s="2"/>
      <c r="H67" s="33"/>
    </row>
    <row r="68" spans="1:8" x14ac:dyDescent="0.25">
      <c r="A68" s="41"/>
      <c r="B68" s="2"/>
      <c r="C68" s="2"/>
      <c r="D68" s="2"/>
      <c r="E68" s="2"/>
      <c r="F68" s="2"/>
      <c r="G68" s="2"/>
      <c r="H68" s="33"/>
    </row>
    <row r="69" spans="1:8" x14ac:dyDescent="0.25">
      <c r="A69" s="41"/>
      <c r="B69" s="2"/>
      <c r="C69" s="2"/>
      <c r="D69" s="2"/>
      <c r="E69" s="2"/>
      <c r="F69" s="2"/>
      <c r="G69" s="2"/>
      <c r="H69" s="33"/>
    </row>
    <row r="70" spans="1:8" x14ac:dyDescent="0.25">
      <c r="A70" s="41"/>
      <c r="B70" s="2"/>
      <c r="C70" s="2"/>
      <c r="D70" s="2"/>
      <c r="E70" s="2"/>
      <c r="F70" s="2"/>
      <c r="G70" s="2"/>
      <c r="H70" s="33"/>
    </row>
    <row r="71" spans="1:8" x14ac:dyDescent="0.25">
      <c r="A71" s="41"/>
      <c r="B71" s="2"/>
      <c r="C71" s="2"/>
      <c r="D71" s="2"/>
      <c r="E71" s="2"/>
      <c r="F71" s="2"/>
      <c r="G71" s="2"/>
      <c r="H71" s="33"/>
    </row>
    <row r="72" spans="1:8" x14ac:dyDescent="0.25">
      <c r="A72" s="41"/>
      <c r="B72" s="2"/>
      <c r="C72" s="2"/>
      <c r="D72" s="2"/>
      <c r="E72" s="2"/>
      <c r="F72" s="2"/>
      <c r="G72" s="2"/>
      <c r="H72" s="33"/>
    </row>
    <row r="73" spans="1:8" x14ac:dyDescent="0.25">
      <c r="A73" s="41"/>
      <c r="B73" s="2"/>
      <c r="C73" s="2"/>
      <c r="D73" s="2"/>
      <c r="E73" s="2"/>
      <c r="F73" s="2"/>
      <c r="G73" s="2"/>
      <c r="H73" s="33"/>
    </row>
    <row r="74" spans="1:8" x14ac:dyDescent="0.25">
      <c r="A74" s="41"/>
      <c r="B74" s="2"/>
      <c r="C74" s="2"/>
      <c r="D74" s="2"/>
      <c r="E74" s="2"/>
      <c r="F74" s="2"/>
      <c r="G74" s="2"/>
      <c r="H74" s="33"/>
    </row>
    <row r="75" spans="1:8" x14ac:dyDescent="0.25">
      <c r="A75" s="41"/>
      <c r="B75" s="2"/>
      <c r="C75" s="2"/>
      <c r="D75" s="2"/>
      <c r="E75" s="2"/>
      <c r="F75" s="2"/>
      <c r="G75" s="2"/>
      <c r="H75" s="33"/>
    </row>
    <row r="76" spans="1:8" x14ac:dyDescent="0.25">
      <c r="A76" s="41"/>
      <c r="B76" s="2"/>
      <c r="C76" s="2"/>
      <c r="D76" s="2"/>
      <c r="E76" s="2"/>
      <c r="F76" s="2"/>
      <c r="G76" s="2"/>
      <c r="H76" s="33"/>
    </row>
    <row r="77" spans="1:8" x14ac:dyDescent="0.25">
      <c r="A77" s="41"/>
      <c r="B77" s="2"/>
      <c r="C77" s="2"/>
      <c r="D77" s="2"/>
      <c r="E77" s="2"/>
      <c r="F77" s="2"/>
      <c r="G77" s="2"/>
      <c r="H77" s="33"/>
    </row>
    <row r="78" spans="1:8" x14ac:dyDescent="0.25">
      <c r="A78" s="41"/>
      <c r="B78" s="2"/>
      <c r="C78" s="2"/>
      <c r="D78" s="2"/>
      <c r="E78" s="2"/>
      <c r="F78" s="2"/>
      <c r="G78" s="2"/>
      <c r="H78" s="33"/>
    </row>
    <row r="79" spans="1:8" x14ac:dyDescent="0.25">
      <c r="A79" s="41"/>
      <c r="B79" s="2"/>
      <c r="C79" s="2"/>
      <c r="D79" s="2"/>
      <c r="E79" s="2"/>
      <c r="F79" s="2"/>
      <c r="G79" s="2"/>
      <c r="H79" s="33"/>
    </row>
    <row r="80" spans="1:8" x14ac:dyDescent="0.25">
      <c r="A80" s="41"/>
      <c r="B80" s="2"/>
      <c r="C80" s="2"/>
      <c r="D80" s="2"/>
      <c r="E80" s="2"/>
      <c r="F80" s="2"/>
      <c r="G80" s="2"/>
      <c r="H80" s="33"/>
    </row>
    <row r="81" spans="1:8" x14ac:dyDescent="0.25">
      <c r="A81" s="41"/>
      <c r="B81" s="2"/>
      <c r="C81" s="2"/>
      <c r="D81" s="2"/>
      <c r="E81" s="2"/>
      <c r="F81" s="2"/>
      <c r="G81" s="2"/>
      <c r="H81" s="33"/>
    </row>
    <row r="82" spans="1:8" x14ac:dyDescent="0.25">
      <c r="A82" s="41"/>
      <c r="B82" s="2"/>
      <c r="C82" s="2"/>
      <c r="D82" s="2"/>
      <c r="E82" s="2"/>
      <c r="F82" s="2"/>
      <c r="G82" s="2"/>
      <c r="H82" s="33"/>
    </row>
    <row r="83" spans="1:8" x14ac:dyDescent="0.25">
      <c r="A83" s="41"/>
      <c r="B83" s="2"/>
      <c r="C83" s="2"/>
      <c r="D83" s="2"/>
      <c r="E83" s="2"/>
      <c r="F83" s="2"/>
      <c r="G83" s="2"/>
      <c r="H83" s="33"/>
    </row>
    <row r="84" spans="1:8" x14ac:dyDescent="0.25">
      <c r="A84" s="41"/>
      <c r="B84" s="2"/>
      <c r="C84" s="2"/>
      <c r="D84" s="2"/>
      <c r="E84" s="2"/>
      <c r="F84" s="2"/>
      <c r="G84" s="2"/>
      <c r="H84" s="33"/>
    </row>
    <row r="85" spans="1:8" x14ac:dyDescent="0.25">
      <c r="A85" s="41"/>
      <c r="B85" s="2"/>
      <c r="C85" s="2"/>
      <c r="D85" s="2"/>
      <c r="E85" s="2"/>
      <c r="F85" s="2"/>
      <c r="G85" s="2"/>
      <c r="H85" s="33"/>
    </row>
    <row r="86" spans="1:8" x14ac:dyDescent="0.25">
      <c r="A86" s="41"/>
      <c r="B86" s="2"/>
      <c r="C86" s="2"/>
      <c r="D86" s="2"/>
      <c r="E86" s="2"/>
      <c r="F86" s="2"/>
      <c r="G86" s="2"/>
      <c r="H86" s="33"/>
    </row>
    <row r="87" spans="1:8" x14ac:dyDescent="0.25">
      <c r="A87" s="41"/>
      <c r="B87" s="2"/>
      <c r="C87" s="2"/>
      <c r="D87" s="2"/>
      <c r="E87" s="2"/>
      <c r="F87" s="2"/>
      <c r="G87" s="2"/>
      <c r="H87" s="33"/>
    </row>
    <row r="88" spans="1:8" x14ac:dyDescent="0.25">
      <c r="A88" s="41"/>
      <c r="B88" s="2"/>
      <c r="C88" s="2"/>
      <c r="D88" s="2"/>
      <c r="E88" s="2"/>
      <c r="F88" s="2"/>
      <c r="G88" s="2"/>
      <c r="H88" s="33"/>
    </row>
    <row r="89" spans="1:8" x14ac:dyDescent="0.25">
      <c r="A89" s="41"/>
      <c r="B89" s="2"/>
      <c r="C89" s="2"/>
      <c r="D89" s="2"/>
      <c r="E89" s="2"/>
      <c r="F89" s="2"/>
      <c r="G89" s="2"/>
      <c r="H89" s="33"/>
    </row>
    <row r="90" spans="1:8" x14ac:dyDescent="0.25">
      <c r="A90" s="41"/>
      <c r="B90" s="2"/>
      <c r="C90" s="2"/>
      <c r="D90" s="2"/>
      <c r="E90" s="2"/>
      <c r="F90" s="2"/>
      <c r="G90" s="2"/>
      <c r="H90" s="33"/>
    </row>
    <row r="91" spans="1:8" x14ac:dyDescent="0.25">
      <c r="A91" s="41"/>
      <c r="B91" s="2"/>
      <c r="C91" s="2"/>
      <c r="D91" s="2"/>
      <c r="E91" s="2"/>
      <c r="F91" s="2"/>
      <c r="G91" s="2"/>
      <c r="H91" s="33"/>
    </row>
    <row r="92" spans="1:8" x14ac:dyDescent="0.25">
      <c r="A92" s="41"/>
      <c r="B92" s="2"/>
      <c r="C92" s="2"/>
      <c r="D92" s="2"/>
      <c r="E92" s="2"/>
      <c r="F92" s="2"/>
      <c r="G92" s="2"/>
      <c r="H92" s="33"/>
    </row>
    <row r="93" spans="1:8" x14ac:dyDescent="0.25">
      <c r="A93" s="41"/>
      <c r="B93" s="2"/>
      <c r="C93" s="2"/>
      <c r="D93" s="2"/>
      <c r="E93" s="2"/>
      <c r="F93" s="2"/>
      <c r="G93" s="2"/>
      <c r="H93" s="33"/>
    </row>
    <row r="94" spans="1:8" x14ac:dyDescent="0.25">
      <c r="A94" s="41"/>
      <c r="B94" s="2"/>
      <c r="C94" s="2"/>
      <c r="D94" s="2"/>
      <c r="E94" s="2"/>
      <c r="F94" s="2"/>
      <c r="G94" s="2"/>
      <c r="H94" s="33"/>
    </row>
    <row r="95" spans="1:8" x14ac:dyDescent="0.25">
      <c r="A95" s="41"/>
      <c r="B95" s="2"/>
      <c r="C95" s="2"/>
      <c r="D95" s="2"/>
      <c r="E95" s="2"/>
      <c r="F95" s="2"/>
      <c r="G95" s="2"/>
      <c r="H95" s="33"/>
    </row>
    <row r="96" spans="1:8" x14ac:dyDescent="0.25">
      <c r="A96" s="41"/>
      <c r="B96" s="2"/>
      <c r="C96" s="2"/>
      <c r="D96" s="2"/>
      <c r="E96" s="2"/>
      <c r="F96" s="2"/>
      <c r="G96" s="2"/>
      <c r="H96" s="33"/>
    </row>
    <row r="97" spans="1:8" x14ac:dyDescent="0.25">
      <c r="A97" s="41"/>
      <c r="B97" s="2"/>
      <c r="C97" s="2"/>
      <c r="D97" s="2"/>
      <c r="E97" s="2"/>
      <c r="F97" s="2"/>
      <c r="G97" s="2"/>
      <c r="H97" s="33"/>
    </row>
    <row r="98" spans="1:8" x14ac:dyDescent="0.25">
      <c r="A98" s="41"/>
      <c r="B98" s="2"/>
      <c r="C98" s="2"/>
      <c r="D98" s="2"/>
      <c r="E98" s="2"/>
      <c r="F98" s="2"/>
      <c r="G98" s="2"/>
      <c r="H98" s="33"/>
    </row>
    <row r="99" spans="1:8" x14ac:dyDescent="0.25">
      <c r="A99" s="41"/>
      <c r="B99" s="2"/>
      <c r="C99" s="2"/>
      <c r="D99" s="2"/>
      <c r="E99" s="2"/>
      <c r="F99" s="2"/>
      <c r="G99" s="2"/>
      <c r="H99" s="33"/>
    </row>
    <row r="100" spans="1:8" x14ac:dyDescent="0.25">
      <c r="A100" s="41"/>
      <c r="B100" s="2"/>
      <c r="C100" s="2"/>
      <c r="D100" s="2"/>
      <c r="E100" s="2"/>
      <c r="F100" s="2"/>
      <c r="G100" s="2"/>
      <c r="H100" s="33"/>
    </row>
    <row r="101" spans="1:8" x14ac:dyDescent="0.25">
      <c r="A101" s="41"/>
      <c r="B101" s="2"/>
      <c r="C101" s="2"/>
      <c r="D101" s="2"/>
      <c r="E101" s="2"/>
      <c r="F101" s="2"/>
      <c r="G101" s="2"/>
      <c r="H101" s="33"/>
    </row>
    <row r="102" spans="1:8" x14ac:dyDescent="0.25">
      <c r="A102" s="41"/>
      <c r="B102" s="2"/>
      <c r="C102" s="2"/>
      <c r="D102" s="2"/>
      <c r="E102" s="2"/>
      <c r="F102" s="2"/>
      <c r="G102" s="2"/>
      <c r="H102" s="33"/>
    </row>
    <row r="103" spans="1:8" x14ac:dyDescent="0.25">
      <c r="A103" s="41"/>
      <c r="B103" s="2"/>
      <c r="C103" s="2"/>
      <c r="D103" s="2"/>
      <c r="E103" s="2"/>
      <c r="F103" s="2"/>
      <c r="G103" s="2"/>
      <c r="H103" s="33"/>
    </row>
    <row r="104" spans="1:8" x14ac:dyDescent="0.25">
      <c r="A104" s="41"/>
      <c r="B104" s="2"/>
      <c r="C104" s="2"/>
      <c r="D104" s="2"/>
      <c r="E104" s="2"/>
      <c r="F104" s="2"/>
      <c r="G104" s="2"/>
      <c r="H104" s="33"/>
    </row>
    <row r="105" spans="1:8" x14ac:dyDescent="0.25">
      <c r="A105" s="41"/>
      <c r="B105" s="2"/>
      <c r="C105" s="2"/>
      <c r="D105" s="2"/>
      <c r="E105" s="2"/>
      <c r="F105" s="2"/>
      <c r="G105" s="2"/>
      <c r="H105" s="33"/>
    </row>
    <row r="106" spans="1:8" x14ac:dyDescent="0.25">
      <c r="A106" s="41"/>
      <c r="B106" s="2"/>
      <c r="C106" s="2"/>
      <c r="D106" s="2"/>
      <c r="E106" s="2"/>
      <c r="F106" s="2"/>
      <c r="G106" s="2"/>
      <c r="H106" s="33"/>
    </row>
    <row r="107" spans="1:8" x14ac:dyDescent="0.25">
      <c r="A107" s="41"/>
      <c r="B107" s="2"/>
      <c r="C107" s="2"/>
      <c r="D107" s="2"/>
      <c r="E107" s="2"/>
      <c r="F107" s="2"/>
      <c r="G107" s="2"/>
      <c r="H107" s="33"/>
    </row>
    <row r="108" spans="1:8" x14ac:dyDescent="0.25">
      <c r="A108" s="41"/>
      <c r="B108" s="2"/>
      <c r="C108" s="2"/>
      <c r="D108" s="2"/>
      <c r="E108" s="2"/>
      <c r="F108" s="2"/>
      <c r="G108" s="2"/>
      <c r="H108" s="33"/>
    </row>
    <row r="109" spans="1:8" x14ac:dyDescent="0.25">
      <c r="A109" s="41"/>
      <c r="B109" s="2"/>
      <c r="C109" s="2"/>
      <c r="D109" s="2"/>
      <c r="E109" s="2"/>
      <c r="F109" s="2"/>
      <c r="G109" s="2"/>
      <c r="H109" s="33"/>
    </row>
    <row r="110" spans="1:8" x14ac:dyDescent="0.25">
      <c r="A110" s="41"/>
      <c r="B110" s="2"/>
      <c r="C110" s="2"/>
      <c r="D110" s="2"/>
      <c r="E110" s="2"/>
      <c r="F110" s="2"/>
      <c r="G110" s="2"/>
      <c r="H110" s="33"/>
    </row>
    <row r="111" spans="1:8" x14ac:dyDescent="0.25">
      <c r="A111" s="41"/>
      <c r="B111" s="2"/>
      <c r="C111" s="2"/>
      <c r="D111" s="2"/>
      <c r="E111" s="2"/>
      <c r="F111" s="2"/>
      <c r="G111" s="2"/>
      <c r="H111" s="33"/>
    </row>
    <row r="112" spans="1:8" x14ac:dyDescent="0.25">
      <c r="A112" s="41"/>
      <c r="B112" s="2"/>
      <c r="C112" s="2"/>
      <c r="D112" s="2"/>
      <c r="E112" s="2"/>
      <c r="F112" s="2"/>
      <c r="G112" s="2"/>
      <c r="H112" s="33"/>
    </row>
    <row r="113" spans="1:8" x14ac:dyDescent="0.25">
      <c r="A113" s="41"/>
      <c r="B113" s="2"/>
      <c r="C113" s="2"/>
      <c r="D113" s="2"/>
      <c r="E113" s="2"/>
      <c r="F113" s="2"/>
      <c r="G113" s="2"/>
      <c r="H113" s="33"/>
    </row>
    <row r="114" spans="1:8" x14ac:dyDescent="0.25">
      <c r="A114" s="41"/>
      <c r="B114" s="2"/>
      <c r="C114" s="2"/>
      <c r="D114" s="2"/>
      <c r="E114" s="2"/>
      <c r="F114" s="2"/>
      <c r="G114" s="2"/>
      <c r="H114" s="33"/>
    </row>
    <row r="115" spans="1:8" x14ac:dyDescent="0.25">
      <c r="A115" s="41"/>
      <c r="B115" s="2"/>
      <c r="C115" s="2"/>
      <c r="D115" s="2"/>
      <c r="E115" s="2"/>
      <c r="F115" s="2"/>
      <c r="G115" s="2"/>
      <c r="H115" s="33"/>
    </row>
    <row r="116" spans="1:8" x14ac:dyDescent="0.25">
      <c r="A116" s="41"/>
      <c r="B116" s="2"/>
      <c r="C116" s="2"/>
      <c r="D116" s="2"/>
      <c r="E116" s="2"/>
      <c r="F116" s="2"/>
      <c r="G116" s="2"/>
      <c r="H116" s="33"/>
    </row>
    <row r="117" spans="1:8" x14ac:dyDescent="0.25">
      <c r="A117" s="41"/>
      <c r="B117" s="2"/>
      <c r="C117" s="2"/>
      <c r="D117" s="2"/>
      <c r="E117" s="2"/>
      <c r="F117" s="2"/>
      <c r="G117" s="2"/>
      <c r="H117" s="33"/>
    </row>
    <row r="118" spans="1:8" x14ac:dyDescent="0.25">
      <c r="A118" s="41"/>
      <c r="B118" s="2"/>
      <c r="C118" s="2"/>
      <c r="D118" s="2"/>
      <c r="E118" s="2"/>
      <c r="F118" s="2"/>
      <c r="G118" s="2"/>
      <c r="H118" s="33"/>
    </row>
    <row r="119" spans="1:8" x14ac:dyDescent="0.25">
      <c r="A119" s="41"/>
      <c r="B119" s="2"/>
      <c r="C119" s="2"/>
      <c r="D119" s="2"/>
      <c r="E119" s="2"/>
      <c r="F119" s="2"/>
      <c r="G119" s="2"/>
      <c r="H119" s="33"/>
    </row>
    <row r="120" spans="1:8" x14ac:dyDescent="0.25">
      <c r="A120" s="41"/>
      <c r="B120" s="2"/>
      <c r="C120" s="2"/>
      <c r="D120" s="2"/>
      <c r="E120" s="2"/>
      <c r="F120" s="2"/>
      <c r="G120" s="2"/>
      <c r="H120" s="33"/>
    </row>
    <row r="121" spans="1:8" x14ac:dyDescent="0.25">
      <c r="A121" s="41"/>
      <c r="B121" s="2"/>
      <c r="C121" s="2"/>
      <c r="D121" s="2"/>
      <c r="E121" s="2"/>
      <c r="F121" s="2"/>
      <c r="G121" s="2"/>
      <c r="H121" s="33"/>
    </row>
    <row r="122" spans="1:8" x14ac:dyDescent="0.25">
      <c r="A122" s="41"/>
      <c r="B122" s="2"/>
      <c r="C122" s="2"/>
      <c r="D122" s="2"/>
      <c r="E122" s="2"/>
      <c r="F122" s="2"/>
      <c r="G122" s="2"/>
      <c r="H122" s="33"/>
    </row>
    <row r="123" spans="1:8" x14ac:dyDescent="0.25">
      <c r="A123" s="41"/>
      <c r="B123" s="2"/>
      <c r="C123" s="2"/>
      <c r="D123" s="2"/>
      <c r="E123" s="2"/>
      <c r="F123" s="2"/>
      <c r="G123" s="2"/>
      <c r="H123" s="33"/>
    </row>
    <row r="124" spans="1:8" x14ac:dyDescent="0.25">
      <c r="A124" s="41"/>
      <c r="B124" s="2"/>
      <c r="C124" s="2"/>
      <c r="D124" s="2"/>
      <c r="E124" s="2"/>
      <c r="F124" s="2"/>
      <c r="G124" s="2"/>
      <c r="H124" s="33"/>
    </row>
    <row r="125" spans="1:8" x14ac:dyDescent="0.25">
      <c r="A125" s="41"/>
      <c r="B125" s="2"/>
      <c r="C125" s="2"/>
      <c r="D125" s="2"/>
      <c r="E125" s="2"/>
      <c r="F125" s="2"/>
      <c r="G125" s="2"/>
      <c r="H125" s="33"/>
    </row>
    <row r="126" spans="1:8" x14ac:dyDescent="0.25">
      <c r="A126" s="41"/>
      <c r="B126" s="2"/>
      <c r="C126" s="2"/>
      <c r="D126" s="2"/>
      <c r="E126" s="2"/>
      <c r="F126" s="2"/>
      <c r="G126" s="2"/>
      <c r="H126" s="33"/>
    </row>
    <row r="127" spans="1:8" x14ac:dyDescent="0.25">
      <c r="A127" s="41"/>
      <c r="B127" s="2"/>
      <c r="C127" s="2"/>
      <c r="D127" s="2"/>
      <c r="E127" s="2"/>
      <c r="F127" s="2"/>
      <c r="G127" s="2"/>
      <c r="H127" s="33"/>
    </row>
    <row r="128" spans="1:8" x14ac:dyDescent="0.25">
      <c r="A128" s="41"/>
      <c r="B128" s="2"/>
      <c r="C128" s="2"/>
      <c r="D128" s="2"/>
      <c r="E128" s="2"/>
      <c r="F128" s="2"/>
      <c r="G128" s="2"/>
      <c r="H128" s="33"/>
    </row>
    <row r="129" spans="1:8" x14ac:dyDescent="0.25">
      <c r="A129" s="41"/>
      <c r="B129" s="2"/>
      <c r="C129" s="2"/>
      <c r="D129" s="2"/>
      <c r="E129" s="2"/>
      <c r="F129" s="2"/>
      <c r="G129" s="2"/>
      <c r="H129" s="33"/>
    </row>
    <row r="130" spans="1:8" x14ac:dyDescent="0.25">
      <c r="A130" s="41"/>
      <c r="B130" s="2"/>
      <c r="C130" s="2"/>
      <c r="D130" s="2"/>
      <c r="E130" s="2"/>
      <c r="F130" s="2"/>
      <c r="G130" s="2"/>
      <c r="H130" s="33"/>
    </row>
    <row r="131" spans="1:8" x14ac:dyDescent="0.25">
      <c r="A131" s="41"/>
      <c r="B131" s="2"/>
      <c r="C131" s="2"/>
      <c r="D131" s="2"/>
      <c r="E131" s="2"/>
      <c r="F131" s="2"/>
      <c r="G131" s="2"/>
      <c r="H131" s="33"/>
    </row>
    <row r="132" spans="1:8" x14ac:dyDescent="0.25">
      <c r="A132" s="41"/>
      <c r="B132" s="2"/>
      <c r="C132" s="2"/>
      <c r="D132" s="2"/>
      <c r="E132" s="2"/>
      <c r="F132" s="2"/>
      <c r="G132" s="2"/>
      <c r="H132" s="33"/>
    </row>
    <row r="133" spans="1:8" x14ac:dyDescent="0.25">
      <c r="A133" s="41"/>
      <c r="B133" s="2"/>
      <c r="C133" s="2"/>
      <c r="D133" s="2"/>
      <c r="E133" s="2"/>
      <c r="F133" s="2"/>
      <c r="G133" s="2"/>
      <c r="H133" s="33"/>
    </row>
    <row r="134" spans="1:8" x14ac:dyDescent="0.25">
      <c r="A134" s="41"/>
      <c r="B134" s="2"/>
      <c r="C134" s="2"/>
      <c r="D134" s="2"/>
      <c r="E134" s="2"/>
      <c r="F134" s="2"/>
      <c r="G134" s="2"/>
      <c r="H134" s="33"/>
    </row>
    <row r="135" spans="1:8" x14ac:dyDescent="0.25">
      <c r="A135" s="41"/>
      <c r="B135" s="2"/>
      <c r="C135" s="2"/>
      <c r="D135" s="2"/>
      <c r="E135" s="2"/>
      <c r="F135" s="2"/>
      <c r="G135" s="2"/>
      <c r="H135" s="33"/>
    </row>
    <row r="136" spans="1:8" x14ac:dyDescent="0.25">
      <c r="A136" s="41"/>
      <c r="B136" s="2"/>
      <c r="C136" s="2"/>
      <c r="D136" s="2"/>
      <c r="E136" s="2"/>
      <c r="F136" s="2"/>
      <c r="G136" s="2"/>
      <c r="H136" s="33"/>
    </row>
    <row r="137" spans="1:8" x14ac:dyDescent="0.25">
      <c r="A137" s="41"/>
      <c r="B137" s="2"/>
      <c r="C137" s="2"/>
      <c r="D137" s="2"/>
      <c r="E137" s="2"/>
      <c r="F137" s="2"/>
      <c r="G137" s="2"/>
      <c r="H137" s="33"/>
    </row>
    <row r="138" spans="1:8" x14ac:dyDescent="0.25">
      <c r="A138" s="41"/>
      <c r="B138" s="2"/>
      <c r="C138" s="2"/>
      <c r="D138" s="2"/>
      <c r="E138" s="2"/>
      <c r="F138" s="2"/>
      <c r="G138" s="2"/>
      <c r="H138" s="33"/>
    </row>
    <row r="139" spans="1:8" x14ac:dyDescent="0.25">
      <c r="A139" s="41"/>
      <c r="B139" s="2"/>
      <c r="C139" s="2"/>
      <c r="D139" s="2"/>
      <c r="E139" s="2"/>
      <c r="F139" s="2"/>
      <c r="G139" s="2"/>
      <c r="H139" s="33"/>
    </row>
    <row r="140" spans="1:8" x14ac:dyDescent="0.25">
      <c r="A140" s="41"/>
      <c r="B140" s="2"/>
      <c r="C140" s="2"/>
      <c r="D140" s="2"/>
      <c r="E140" s="2"/>
      <c r="F140" s="2"/>
      <c r="G140" s="2"/>
      <c r="H140" s="33"/>
    </row>
    <row r="141" spans="1:8" x14ac:dyDescent="0.25">
      <c r="A141" s="41"/>
      <c r="B141" s="2"/>
      <c r="C141" s="2"/>
      <c r="D141" s="2"/>
      <c r="E141" s="2"/>
      <c r="F141" s="2"/>
      <c r="G141" s="2"/>
      <c r="H141" s="33"/>
    </row>
    <row r="142" spans="1:8" x14ac:dyDescent="0.25">
      <c r="A142" s="41"/>
      <c r="B142" s="2"/>
      <c r="C142" s="2"/>
      <c r="D142" s="2"/>
      <c r="E142" s="2"/>
      <c r="F142" s="2"/>
      <c r="G142" s="2"/>
      <c r="H142" s="33"/>
    </row>
    <row r="143" spans="1:8" x14ac:dyDescent="0.25">
      <c r="A143" s="41"/>
      <c r="B143" s="2"/>
      <c r="C143" s="2"/>
      <c r="D143" s="2"/>
      <c r="E143" s="2"/>
      <c r="F143" s="2"/>
      <c r="G143" s="2"/>
      <c r="H143" s="33"/>
    </row>
    <row r="144" spans="1:8" x14ac:dyDescent="0.25">
      <c r="A144" s="41"/>
      <c r="B144" s="2"/>
      <c r="C144" s="2"/>
      <c r="D144" s="2"/>
      <c r="E144" s="2"/>
      <c r="F144" s="2"/>
      <c r="G144" s="2"/>
      <c r="H144" s="33"/>
    </row>
    <row r="145" spans="1:8" x14ac:dyDescent="0.25">
      <c r="A145" s="41"/>
      <c r="B145" s="2"/>
      <c r="C145" s="2"/>
      <c r="D145" s="2"/>
      <c r="E145" s="2"/>
      <c r="F145" s="2"/>
      <c r="G145" s="2"/>
      <c r="H145" s="33"/>
    </row>
    <row r="146" spans="1:8" x14ac:dyDescent="0.25">
      <c r="A146" s="41"/>
      <c r="B146" s="2"/>
      <c r="C146" s="2"/>
      <c r="D146" s="2"/>
      <c r="E146" s="2"/>
      <c r="F146" s="2"/>
      <c r="G146" s="2"/>
      <c r="H146" s="33"/>
    </row>
    <row r="147" spans="1:8" x14ac:dyDescent="0.25">
      <c r="A147" s="41"/>
      <c r="B147" s="2"/>
      <c r="C147" s="2"/>
      <c r="D147" s="2"/>
      <c r="E147" s="2"/>
      <c r="F147" s="2"/>
      <c r="G147" s="2"/>
      <c r="H147" s="33"/>
    </row>
    <row r="148" spans="1:8" x14ac:dyDescent="0.25">
      <c r="A148" s="41"/>
      <c r="B148" s="2"/>
      <c r="C148" s="2"/>
      <c r="D148" s="2"/>
      <c r="E148" s="2"/>
      <c r="F148" s="2"/>
      <c r="G148" s="2"/>
      <c r="H148" s="33"/>
    </row>
    <row r="149" spans="1:8" x14ac:dyDescent="0.25">
      <c r="A149" s="41"/>
      <c r="B149" s="2"/>
      <c r="C149" s="2"/>
      <c r="D149" s="2"/>
      <c r="E149" s="2"/>
      <c r="F149" s="2"/>
      <c r="G149" s="2"/>
      <c r="H149" s="33"/>
    </row>
    <row r="150" spans="1:8" x14ac:dyDescent="0.25">
      <c r="A150" s="41"/>
      <c r="B150" s="2"/>
      <c r="C150" s="2"/>
      <c r="D150" s="2"/>
      <c r="E150" s="2"/>
      <c r="F150" s="2"/>
      <c r="G150" s="2"/>
      <c r="H150" s="33"/>
    </row>
    <row r="151" spans="1:8" x14ac:dyDescent="0.25">
      <c r="A151" s="41"/>
      <c r="B151" s="2"/>
      <c r="C151" s="2"/>
      <c r="D151" s="2"/>
      <c r="E151" s="2"/>
      <c r="F151" s="2"/>
      <c r="G151" s="2"/>
      <c r="H151" s="33"/>
    </row>
    <row r="152" spans="1:8" x14ac:dyDescent="0.25">
      <c r="A152" s="41"/>
      <c r="B152" s="2"/>
      <c r="C152" s="2"/>
      <c r="D152" s="2"/>
      <c r="E152" s="2"/>
      <c r="F152" s="2"/>
      <c r="G152" s="2"/>
      <c r="H152" s="33"/>
    </row>
    <row r="153" spans="1:8" x14ac:dyDescent="0.25">
      <c r="A153" s="41"/>
      <c r="B153" s="2"/>
      <c r="C153" s="2"/>
      <c r="D153" s="2"/>
      <c r="E153" s="2"/>
      <c r="F153" s="2"/>
      <c r="G153" s="2"/>
      <c r="H153" s="33"/>
    </row>
    <row r="154" spans="1:8" x14ac:dyDescent="0.25">
      <c r="A154" s="41"/>
      <c r="B154" s="2"/>
      <c r="C154" s="2"/>
      <c r="D154" s="2"/>
      <c r="E154" s="2"/>
      <c r="F154" s="2"/>
      <c r="G154" s="2"/>
      <c r="H154" s="33"/>
    </row>
    <row r="155" spans="1:8" x14ac:dyDescent="0.25">
      <c r="A155" s="41"/>
      <c r="B155" s="2"/>
      <c r="C155" s="2"/>
      <c r="D155" s="2"/>
      <c r="E155" s="2"/>
      <c r="F155" s="2"/>
      <c r="G155" s="2"/>
      <c r="H155" s="33"/>
    </row>
    <row r="156" spans="1:8" x14ac:dyDescent="0.25">
      <c r="A156" s="41"/>
      <c r="B156" s="2"/>
      <c r="C156" s="2"/>
      <c r="D156" s="2"/>
      <c r="E156" s="2"/>
      <c r="F156" s="2"/>
      <c r="G156" s="2"/>
      <c r="H156" s="33"/>
    </row>
    <row r="157" spans="1:8" x14ac:dyDescent="0.25">
      <c r="A157" s="41"/>
      <c r="B157" s="2"/>
      <c r="C157" s="2"/>
      <c r="D157" s="2"/>
      <c r="E157" s="2"/>
      <c r="F157" s="2"/>
      <c r="G157" s="2"/>
      <c r="H157" s="33"/>
    </row>
    <row r="158" spans="1:8" x14ac:dyDescent="0.25">
      <c r="A158" s="41"/>
      <c r="B158" s="2"/>
      <c r="C158" s="2"/>
      <c r="D158" s="2"/>
      <c r="E158" s="2"/>
      <c r="F158" s="2"/>
      <c r="G158" s="2"/>
      <c r="H158" s="33"/>
    </row>
    <row r="159" spans="1:8" x14ac:dyDescent="0.25">
      <c r="A159" s="41"/>
      <c r="B159" s="2"/>
      <c r="C159" s="2"/>
      <c r="D159" s="2"/>
      <c r="E159" s="2"/>
      <c r="F159" s="2"/>
      <c r="G159" s="2"/>
      <c r="H159" s="33"/>
    </row>
    <row r="160" spans="1:8" x14ac:dyDescent="0.25">
      <c r="A160" s="41"/>
      <c r="B160" s="2"/>
      <c r="C160" s="2"/>
      <c r="D160" s="2"/>
      <c r="E160" s="2"/>
      <c r="F160" s="2"/>
      <c r="G160" s="2"/>
      <c r="H160" s="33"/>
    </row>
    <row r="161" spans="1:8" x14ac:dyDescent="0.25">
      <c r="A161" s="41"/>
      <c r="B161" s="2"/>
      <c r="C161" s="2"/>
      <c r="D161" s="2"/>
      <c r="E161" s="2"/>
      <c r="F161" s="2"/>
      <c r="G161" s="2"/>
      <c r="H161" s="33"/>
    </row>
    <row r="162" spans="1:8" x14ac:dyDescent="0.25">
      <c r="A162" s="41"/>
      <c r="B162" s="2"/>
      <c r="C162" s="2"/>
      <c r="D162" s="2"/>
      <c r="E162" s="2"/>
      <c r="F162" s="2"/>
      <c r="G162" s="2"/>
      <c r="H162" s="33"/>
    </row>
    <row r="163" spans="1:8" x14ac:dyDescent="0.25">
      <c r="A163" s="41"/>
      <c r="B163" s="2"/>
      <c r="C163" s="2"/>
      <c r="D163" s="2"/>
      <c r="E163" s="2"/>
      <c r="F163" s="2"/>
      <c r="G163" s="2"/>
      <c r="H163" s="33"/>
    </row>
    <row r="164" spans="1:8" x14ac:dyDescent="0.25">
      <c r="A164" s="41"/>
      <c r="B164" s="2"/>
      <c r="C164" s="2"/>
      <c r="D164" s="2"/>
      <c r="E164" s="2"/>
      <c r="F164" s="2"/>
      <c r="G164" s="2"/>
      <c r="H164" s="33"/>
    </row>
    <row r="165" spans="1:8" x14ac:dyDescent="0.25">
      <c r="A165" s="41"/>
      <c r="B165" s="2"/>
      <c r="C165" s="2"/>
      <c r="D165" s="2"/>
      <c r="E165" s="2"/>
      <c r="F165" s="2"/>
      <c r="G165" s="2"/>
      <c r="H165" s="33"/>
    </row>
    <row r="166" spans="1:8" x14ac:dyDescent="0.25">
      <c r="A166" s="41"/>
      <c r="B166" s="2"/>
      <c r="C166" s="2"/>
      <c r="D166" s="2"/>
      <c r="E166" s="2"/>
      <c r="F166" s="2"/>
      <c r="G166" s="2"/>
      <c r="H166" s="33"/>
    </row>
    <row r="167" spans="1:8" x14ac:dyDescent="0.25">
      <c r="A167" s="41"/>
      <c r="B167" s="2"/>
      <c r="C167" s="2"/>
      <c r="D167" s="2"/>
      <c r="E167" s="2"/>
      <c r="F167" s="2"/>
      <c r="G167" s="2"/>
      <c r="H167" s="33"/>
    </row>
    <row r="168" spans="1:8" x14ac:dyDescent="0.25">
      <c r="A168" s="41"/>
      <c r="B168" s="2"/>
      <c r="C168" s="2"/>
      <c r="D168" s="2"/>
      <c r="E168" s="2"/>
      <c r="F168" s="2"/>
      <c r="G168" s="2"/>
      <c r="H168" s="33"/>
    </row>
    <row r="169" spans="1:8" x14ac:dyDescent="0.25">
      <c r="A169" s="41"/>
      <c r="B169" s="2"/>
      <c r="C169" s="2"/>
      <c r="D169" s="2"/>
      <c r="E169" s="2"/>
      <c r="F169" s="2"/>
      <c r="G169" s="2"/>
      <c r="H169" s="33"/>
    </row>
    <row r="170" spans="1:8" x14ac:dyDescent="0.25">
      <c r="A170" s="41"/>
      <c r="B170" s="2"/>
      <c r="C170" s="2"/>
      <c r="D170" s="2"/>
      <c r="E170" s="2"/>
      <c r="F170" s="2"/>
      <c r="G170" s="2"/>
      <c r="H170" s="33"/>
    </row>
    <row r="171" spans="1:8" x14ac:dyDescent="0.25">
      <c r="A171" s="41"/>
      <c r="B171" s="2"/>
      <c r="C171" s="2"/>
      <c r="D171" s="2"/>
      <c r="E171" s="2"/>
      <c r="F171" s="2"/>
      <c r="G171" s="2"/>
      <c r="H171" s="33"/>
    </row>
    <row r="172" spans="1:8" x14ac:dyDescent="0.25">
      <c r="A172" s="41"/>
      <c r="B172" s="2"/>
      <c r="C172" s="2"/>
      <c r="D172" s="2"/>
      <c r="E172" s="2"/>
      <c r="F172" s="2"/>
      <c r="G172" s="2"/>
      <c r="H172" s="33"/>
    </row>
    <row r="173" spans="1:8" x14ac:dyDescent="0.25">
      <c r="A173" s="41"/>
      <c r="B173" s="2"/>
      <c r="C173" s="2"/>
      <c r="D173" s="2"/>
      <c r="E173" s="2"/>
      <c r="F173" s="2"/>
      <c r="G173" s="2"/>
      <c r="H173" s="33"/>
    </row>
    <row r="174" spans="1:8" x14ac:dyDescent="0.25">
      <c r="A174" s="41"/>
      <c r="B174" s="2"/>
      <c r="C174" s="2"/>
      <c r="D174" s="2"/>
      <c r="E174" s="2"/>
      <c r="F174" s="2"/>
      <c r="G174" s="2"/>
      <c r="H174" s="33"/>
    </row>
    <row r="175" spans="1:8" x14ac:dyDescent="0.25">
      <c r="A175" s="41"/>
      <c r="B175" s="2"/>
      <c r="C175" s="2"/>
      <c r="D175" s="2"/>
      <c r="E175" s="2"/>
      <c r="F175" s="2"/>
      <c r="G175" s="2"/>
      <c r="H175" s="33"/>
    </row>
    <row r="176" spans="1:8" x14ac:dyDescent="0.25">
      <c r="A176" s="41"/>
      <c r="B176" s="2"/>
      <c r="C176" s="2"/>
      <c r="D176" s="2"/>
      <c r="E176" s="2"/>
      <c r="F176" s="2"/>
      <c r="G176" s="2"/>
      <c r="H176" s="33"/>
    </row>
    <row r="177" spans="1:8" x14ac:dyDescent="0.25">
      <c r="A177" s="41"/>
      <c r="B177" s="2"/>
      <c r="C177" s="2"/>
      <c r="D177" s="2"/>
      <c r="E177" s="2"/>
      <c r="F177" s="2"/>
      <c r="G177" s="2"/>
      <c r="H177" s="33"/>
    </row>
    <row r="178" spans="1:8" x14ac:dyDescent="0.25">
      <c r="A178" s="41"/>
      <c r="B178" s="2"/>
      <c r="C178" s="2"/>
      <c r="D178" s="2"/>
      <c r="E178" s="2"/>
      <c r="F178" s="2"/>
      <c r="G178" s="2"/>
      <c r="H178" s="33"/>
    </row>
    <row r="179" spans="1:8" x14ac:dyDescent="0.25">
      <c r="A179" s="41"/>
      <c r="B179" s="2"/>
      <c r="C179" s="2"/>
      <c r="D179" s="2"/>
      <c r="E179" s="2"/>
      <c r="F179" s="2"/>
      <c r="G179" s="2"/>
      <c r="H179" s="33"/>
    </row>
    <row r="180" spans="1:8" x14ac:dyDescent="0.25">
      <c r="A180" s="41"/>
      <c r="B180" s="2"/>
      <c r="C180" s="2"/>
      <c r="D180" s="2"/>
      <c r="E180" s="2"/>
      <c r="F180" s="2"/>
      <c r="G180" s="2"/>
      <c r="H180" s="33"/>
    </row>
    <row r="181" spans="1:8" x14ac:dyDescent="0.25">
      <c r="A181" s="41"/>
      <c r="B181" s="2"/>
      <c r="C181" s="2"/>
      <c r="D181" s="2"/>
      <c r="E181" s="2"/>
      <c r="F181" s="2"/>
      <c r="G181" s="2"/>
      <c r="H181" s="33"/>
    </row>
    <row r="182" spans="1:8" x14ac:dyDescent="0.25">
      <c r="A182" s="41"/>
      <c r="B182" s="2"/>
      <c r="C182" s="2"/>
      <c r="D182" s="2"/>
      <c r="E182" s="2"/>
      <c r="F182" s="2"/>
      <c r="G182" s="2"/>
      <c r="H182" s="33"/>
    </row>
    <row r="183" spans="1:8" x14ac:dyDescent="0.25">
      <c r="A183" s="41"/>
      <c r="B183" s="2"/>
      <c r="C183" s="2"/>
      <c r="D183" s="2"/>
      <c r="E183" s="2"/>
      <c r="F183" s="2"/>
      <c r="G183" s="2"/>
      <c r="H183" s="33"/>
    </row>
    <row r="184" spans="1:8" x14ac:dyDescent="0.25">
      <c r="A184" s="41"/>
      <c r="B184" s="2"/>
      <c r="C184" s="2"/>
      <c r="D184" s="2"/>
      <c r="E184" s="2"/>
      <c r="F184" s="2"/>
      <c r="G184" s="2"/>
      <c r="H184" s="33"/>
    </row>
    <row r="185" spans="1:8" x14ac:dyDescent="0.25">
      <c r="A185" s="41"/>
      <c r="B185" s="2"/>
      <c r="C185" s="2"/>
      <c r="D185" s="2"/>
      <c r="E185" s="2"/>
      <c r="F185" s="2"/>
      <c r="G185" s="2"/>
      <c r="H185" s="33"/>
    </row>
    <row r="186" spans="1:8" x14ac:dyDescent="0.25">
      <c r="A186" s="41"/>
      <c r="B186" s="2"/>
      <c r="C186" s="2"/>
      <c r="D186" s="2"/>
      <c r="E186" s="2"/>
      <c r="F186" s="2"/>
      <c r="G186" s="2"/>
      <c r="H186" s="33"/>
    </row>
    <row r="187" spans="1:8" x14ac:dyDescent="0.25">
      <c r="A187" s="41"/>
      <c r="B187" s="2"/>
      <c r="C187" s="2"/>
      <c r="D187" s="2"/>
      <c r="E187" s="2"/>
      <c r="F187" s="2"/>
      <c r="G187" s="2"/>
      <c r="H187" s="33"/>
    </row>
    <row r="188" spans="1:8" x14ac:dyDescent="0.25">
      <c r="A188" s="41"/>
      <c r="B188" s="2"/>
      <c r="C188" s="2"/>
      <c r="D188" s="2"/>
      <c r="E188" s="2"/>
      <c r="F188" s="2"/>
      <c r="G188" s="2"/>
      <c r="H188" s="33"/>
    </row>
    <row r="189" spans="1:8" x14ac:dyDescent="0.25">
      <c r="A189" s="41"/>
      <c r="B189" s="2"/>
      <c r="C189" s="2"/>
      <c r="D189" s="2"/>
      <c r="E189" s="2"/>
      <c r="F189" s="2"/>
      <c r="G189" s="2"/>
      <c r="H189" s="33"/>
    </row>
    <row r="190" spans="1:8" x14ac:dyDescent="0.25">
      <c r="A190" s="41"/>
      <c r="B190" s="2"/>
      <c r="C190" s="2"/>
      <c r="D190" s="2"/>
      <c r="E190" s="2"/>
      <c r="F190" s="2"/>
      <c r="G190" s="2"/>
      <c r="H190" s="33"/>
    </row>
    <row r="191" spans="1:8" x14ac:dyDescent="0.25">
      <c r="A191" s="41"/>
      <c r="B191" s="2"/>
      <c r="C191" s="2"/>
      <c r="D191" s="2"/>
      <c r="E191" s="2"/>
      <c r="F191" s="2"/>
      <c r="G191" s="2"/>
      <c r="H191" s="33"/>
    </row>
    <row r="192" spans="1:8" x14ac:dyDescent="0.25">
      <c r="A192" s="41"/>
      <c r="B192" s="2"/>
      <c r="C192" s="2"/>
      <c r="D192" s="2"/>
      <c r="E192" s="2"/>
      <c r="F192" s="2"/>
      <c r="G192" s="2"/>
      <c r="H192" s="33"/>
    </row>
    <row r="193" spans="1:8" x14ac:dyDescent="0.25">
      <c r="A193" s="41"/>
      <c r="B193" s="2"/>
      <c r="C193" s="2"/>
      <c r="D193" s="2"/>
      <c r="E193" s="2"/>
      <c r="F193" s="2"/>
      <c r="G193" s="2"/>
      <c r="H193" s="33"/>
    </row>
    <row r="194" spans="1:8" x14ac:dyDescent="0.25">
      <c r="A194" s="41"/>
      <c r="B194" s="2"/>
      <c r="C194" s="2"/>
      <c r="D194" s="2"/>
      <c r="E194" s="2"/>
      <c r="F194" s="2"/>
      <c r="G194" s="2"/>
      <c r="H194" s="33"/>
    </row>
    <row r="195" spans="1:8" x14ac:dyDescent="0.25">
      <c r="A195" s="41"/>
      <c r="B195" s="2"/>
      <c r="C195" s="2"/>
      <c r="D195" s="2"/>
      <c r="E195" s="2"/>
      <c r="F195" s="2"/>
      <c r="G195" s="2"/>
      <c r="H195" s="33"/>
    </row>
    <row r="196" spans="1:8" x14ac:dyDescent="0.25">
      <c r="A196" s="41"/>
      <c r="B196" s="2"/>
      <c r="C196" s="2"/>
      <c r="D196" s="2"/>
      <c r="E196" s="2"/>
      <c r="F196" s="2"/>
      <c r="G196" s="2"/>
      <c r="H196" s="33"/>
    </row>
    <row r="197" spans="1:8" x14ac:dyDescent="0.25">
      <c r="A197" s="41"/>
      <c r="B197" s="2"/>
      <c r="C197" s="2"/>
      <c r="D197" s="2"/>
      <c r="E197" s="2"/>
      <c r="F197" s="2"/>
      <c r="G197" s="2"/>
      <c r="H197" s="33"/>
    </row>
    <row r="198" spans="1:8" x14ac:dyDescent="0.25">
      <c r="A198" s="41"/>
      <c r="B198" s="2"/>
      <c r="C198" s="2"/>
      <c r="D198" s="2"/>
      <c r="E198" s="2"/>
      <c r="F198" s="2"/>
      <c r="G198" s="2"/>
      <c r="H198" s="33"/>
    </row>
    <row r="199" spans="1:8" x14ac:dyDescent="0.25">
      <c r="A199" s="41"/>
      <c r="B199" s="2"/>
      <c r="C199" s="2"/>
      <c r="D199" s="2"/>
      <c r="E199" s="2"/>
      <c r="F199" s="2"/>
      <c r="G199" s="2"/>
      <c r="H199" s="33"/>
    </row>
    <row r="200" spans="1:8" x14ac:dyDescent="0.25">
      <c r="A200" s="41"/>
      <c r="B200" s="2"/>
      <c r="C200" s="2"/>
      <c r="D200" s="2"/>
      <c r="E200" s="2"/>
      <c r="F200" s="2"/>
      <c r="G200" s="2"/>
      <c r="H200" s="33"/>
    </row>
    <row r="201" spans="1:8" x14ac:dyDescent="0.25">
      <c r="A201" s="41"/>
      <c r="B201" s="2"/>
      <c r="C201" s="2"/>
      <c r="D201" s="2"/>
      <c r="E201" s="2"/>
      <c r="F201" s="2"/>
      <c r="G201" s="2"/>
      <c r="H201" s="33"/>
    </row>
    <row r="202" spans="1:8" x14ac:dyDescent="0.25">
      <c r="A202" s="41"/>
      <c r="B202" s="2"/>
      <c r="C202" s="2"/>
      <c r="D202" s="2"/>
      <c r="E202" s="2"/>
      <c r="F202" s="2"/>
      <c r="G202" s="2"/>
      <c r="H202" s="33"/>
    </row>
    <row r="203" spans="1:8" x14ac:dyDescent="0.25">
      <c r="A203" s="41"/>
      <c r="B203" s="2"/>
      <c r="C203" s="2"/>
      <c r="D203" s="2"/>
      <c r="E203" s="2"/>
      <c r="F203" s="2"/>
      <c r="G203" s="2"/>
      <c r="H203" s="33"/>
    </row>
    <row r="204" spans="1:8" x14ac:dyDescent="0.25">
      <c r="A204" s="41"/>
      <c r="B204" s="2"/>
      <c r="C204" s="2"/>
      <c r="D204" s="2"/>
      <c r="E204" s="2"/>
      <c r="F204" s="2"/>
      <c r="G204" s="2"/>
      <c r="H204" s="33"/>
    </row>
    <row r="205" spans="1:8" x14ac:dyDescent="0.25">
      <c r="A205" s="41"/>
      <c r="B205" s="2"/>
      <c r="C205" s="2"/>
      <c r="D205" s="2"/>
      <c r="E205" s="2"/>
      <c r="F205" s="2"/>
      <c r="G205" s="2"/>
      <c r="H205" s="33"/>
    </row>
    <row r="206" spans="1:8" x14ac:dyDescent="0.25">
      <c r="A206" s="41"/>
      <c r="B206" s="2"/>
      <c r="C206" s="2"/>
      <c r="D206" s="2"/>
      <c r="E206" s="2"/>
      <c r="F206" s="2"/>
      <c r="G206" s="2"/>
      <c r="H206" s="33"/>
    </row>
    <row r="207" spans="1:8" x14ac:dyDescent="0.25">
      <c r="A207" s="41"/>
      <c r="B207" s="2"/>
      <c r="C207" s="2"/>
      <c r="D207" s="2"/>
      <c r="E207" s="2"/>
      <c r="F207" s="2"/>
      <c r="G207" s="2"/>
      <c r="H207" s="33"/>
    </row>
    <row r="208" spans="1:8" x14ac:dyDescent="0.25">
      <c r="A208" s="41"/>
      <c r="B208" s="2"/>
      <c r="C208" s="2"/>
      <c r="D208" s="2"/>
      <c r="E208" s="2"/>
      <c r="F208" s="2"/>
      <c r="G208" s="2"/>
      <c r="H208" s="33"/>
    </row>
    <row r="209" spans="1:8" x14ac:dyDescent="0.25">
      <c r="A209" s="41"/>
      <c r="B209" s="2"/>
      <c r="C209" s="2"/>
      <c r="D209" s="2"/>
      <c r="E209" s="2"/>
      <c r="F209" s="2"/>
      <c r="G209" s="2"/>
      <c r="H209" s="33"/>
    </row>
    <row r="210" spans="1:8" x14ac:dyDescent="0.25">
      <c r="A210" s="41"/>
      <c r="B210" s="2"/>
      <c r="C210" s="2"/>
      <c r="D210" s="2"/>
      <c r="E210" s="2"/>
      <c r="F210" s="2"/>
      <c r="G210" s="2"/>
      <c r="H210" s="33"/>
    </row>
    <row r="211" spans="1:8" x14ac:dyDescent="0.25">
      <c r="A211" s="41"/>
      <c r="B211" s="2"/>
      <c r="C211" s="2"/>
      <c r="D211" s="2"/>
      <c r="E211" s="2"/>
      <c r="F211" s="2"/>
      <c r="G211" s="2"/>
      <c r="H211" s="33"/>
    </row>
    <row r="212" spans="1:8" x14ac:dyDescent="0.25">
      <c r="A212" s="41"/>
      <c r="B212" s="2"/>
      <c r="C212" s="2"/>
      <c r="D212" s="2"/>
      <c r="E212" s="2"/>
      <c r="F212" s="2"/>
      <c r="G212" s="2"/>
      <c r="H212" s="33"/>
    </row>
    <row r="213" spans="1:8" x14ac:dyDescent="0.25">
      <c r="A213" s="41"/>
      <c r="B213" s="2"/>
      <c r="C213" s="2"/>
      <c r="D213" s="2"/>
      <c r="E213" s="2"/>
      <c r="F213" s="2"/>
      <c r="G213" s="2"/>
      <c r="H213" s="33"/>
    </row>
    <row r="214" spans="1:8" x14ac:dyDescent="0.25">
      <c r="A214" s="41"/>
      <c r="B214" s="2"/>
      <c r="C214" s="2"/>
      <c r="D214" s="2"/>
      <c r="E214" s="2"/>
      <c r="F214" s="2"/>
      <c r="G214" s="2"/>
      <c r="H214" s="33"/>
    </row>
    <row r="215" spans="1:8" x14ac:dyDescent="0.25">
      <c r="A215" s="41"/>
      <c r="B215" s="2"/>
      <c r="C215" s="2"/>
      <c r="D215" s="2"/>
      <c r="E215" s="2"/>
      <c r="F215" s="2"/>
      <c r="G215" s="2"/>
      <c r="H215" s="33"/>
    </row>
    <row r="216" spans="1:8" x14ac:dyDescent="0.25">
      <c r="A216" s="41"/>
      <c r="B216" s="2"/>
      <c r="C216" s="2"/>
      <c r="D216" s="2"/>
      <c r="E216" s="2"/>
      <c r="F216" s="2"/>
      <c r="G216" s="2"/>
      <c r="H216" s="33"/>
    </row>
    <row r="217" spans="1:8" x14ac:dyDescent="0.25">
      <c r="A217" s="41"/>
      <c r="B217" s="2"/>
      <c r="C217" s="2"/>
      <c r="D217" s="2"/>
      <c r="E217" s="2"/>
      <c r="F217" s="2"/>
      <c r="G217" s="2"/>
      <c r="H217" s="33"/>
    </row>
    <row r="218" spans="1:8" x14ac:dyDescent="0.25">
      <c r="A218" s="41"/>
      <c r="B218" s="2"/>
      <c r="C218" s="2"/>
      <c r="D218" s="2"/>
      <c r="E218" s="2"/>
      <c r="F218" s="2"/>
      <c r="G218" s="2"/>
      <c r="H218" s="33"/>
    </row>
    <row r="219" spans="1:8" x14ac:dyDescent="0.25">
      <c r="A219" s="41"/>
      <c r="B219" s="2"/>
      <c r="C219" s="2"/>
      <c r="D219" s="2"/>
      <c r="E219" s="2"/>
      <c r="F219" s="2"/>
      <c r="G219" s="2"/>
      <c r="H219" s="33"/>
    </row>
    <row r="220" spans="1:8" x14ac:dyDescent="0.25">
      <c r="A220" s="41"/>
      <c r="B220" s="2"/>
      <c r="C220" s="2"/>
      <c r="D220" s="2"/>
      <c r="E220" s="2"/>
      <c r="F220" s="2"/>
      <c r="G220" s="2"/>
      <c r="H220" s="33"/>
    </row>
    <row r="221" spans="1:8" x14ac:dyDescent="0.25">
      <c r="A221" s="41"/>
      <c r="B221" s="2"/>
      <c r="C221" s="2"/>
      <c r="D221" s="2"/>
      <c r="E221" s="2"/>
      <c r="F221" s="2"/>
      <c r="G221" s="2"/>
      <c r="H221" s="33"/>
    </row>
    <row r="222" spans="1:8" x14ac:dyDescent="0.25">
      <c r="A222" s="41"/>
      <c r="B222" s="2"/>
      <c r="C222" s="2"/>
      <c r="D222" s="2"/>
      <c r="E222" s="2"/>
      <c r="F222" s="2"/>
      <c r="G222" s="2"/>
      <c r="H222" s="33"/>
    </row>
    <row r="223" spans="1:8" x14ac:dyDescent="0.25">
      <c r="A223" s="41"/>
      <c r="B223" s="2"/>
      <c r="C223" s="2"/>
      <c r="D223" s="2"/>
      <c r="E223" s="2"/>
      <c r="F223" s="2"/>
      <c r="G223" s="2"/>
      <c r="H223" s="33"/>
    </row>
    <row r="224" spans="1:8" x14ac:dyDescent="0.25">
      <c r="A224" s="41"/>
      <c r="B224" s="2"/>
      <c r="C224" s="2"/>
      <c r="D224" s="2"/>
      <c r="E224" s="2"/>
      <c r="F224" s="2"/>
      <c r="G224" s="2"/>
      <c r="H224" s="33"/>
    </row>
    <row r="225" spans="1:8" x14ac:dyDescent="0.25">
      <c r="A225" s="41"/>
      <c r="B225" s="2"/>
      <c r="C225" s="2"/>
      <c r="D225" s="2"/>
      <c r="E225" s="2"/>
      <c r="F225" s="2"/>
      <c r="G225" s="2"/>
      <c r="H225" s="33"/>
    </row>
    <row r="226" spans="1:8" x14ac:dyDescent="0.25">
      <c r="A226" s="41"/>
      <c r="B226" s="2"/>
      <c r="C226" s="2"/>
      <c r="D226" s="2"/>
      <c r="E226" s="2"/>
      <c r="F226" s="2"/>
      <c r="G226" s="2"/>
      <c r="H226" s="33"/>
    </row>
    <row r="227" spans="1:8" x14ac:dyDescent="0.25">
      <c r="A227" s="41"/>
      <c r="B227" s="2"/>
      <c r="C227" s="2"/>
      <c r="D227" s="2"/>
      <c r="E227" s="2"/>
      <c r="F227" s="2"/>
      <c r="G227" s="2"/>
      <c r="H227" s="33"/>
    </row>
    <row r="228" spans="1:8" x14ac:dyDescent="0.25">
      <c r="A228" s="41"/>
      <c r="B228" s="2"/>
      <c r="C228" s="2"/>
      <c r="D228" s="2"/>
      <c r="E228" s="2"/>
      <c r="F228" s="2"/>
      <c r="G228" s="2"/>
      <c r="H228" s="33"/>
    </row>
    <row r="229" spans="1:8" x14ac:dyDescent="0.25">
      <c r="A229" s="41"/>
      <c r="B229" s="2"/>
      <c r="C229" s="2"/>
      <c r="D229" s="2"/>
      <c r="E229" s="2"/>
      <c r="F229" s="2"/>
      <c r="G229" s="2"/>
      <c r="H229" s="33"/>
    </row>
    <row r="230" spans="1:8" x14ac:dyDescent="0.25">
      <c r="A230" s="41"/>
      <c r="B230" s="2"/>
      <c r="C230" s="2"/>
      <c r="D230" s="2"/>
      <c r="E230" s="2"/>
      <c r="F230" s="2"/>
      <c r="G230" s="2"/>
      <c r="H230" s="33"/>
    </row>
    <row r="231" spans="1:8" x14ac:dyDescent="0.25">
      <c r="A231" s="41"/>
      <c r="B231" s="2"/>
      <c r="C231" s="2"/>
      <c r="D231" s="2"/>
      <c r="E231" s="2"/>
      <c r="F231" s="2"/>
      <c r="G231" s="2"/>
      <c r="H231" s="33"/>
    </row>
    <row r="232" spans="1:8" x14ac:dyDescent="0.25">
      <c r="A232" s="41"/>
      <c r="B232" s="2"/>
      <c r="C232" s="2"/>
      <c r="D232" s="2"/>
      <c r="E232" s="2"/>
      <c r="F232" s="2"/>
      <c r="G232" s="2"/>
      <c r="H232" s="33"/>
    </row>
    <row r="233" spans="1:8" x14ac:dyDescent="0.25">
      <c r="A233" s="41"/>
      <c r="B233" s="2"/>
      <c r="C233" s="2"/>
      <c r="D233" s="2"/>
      <c r="E233" s="2"/>
      <c r="F233" s="2"/>
      <c r="G233" s="2"/>
      <c r="H233" s="33"/>
    </row>
    <row r="234" spans="1:8" x14ac:dyDescent="0.25">
      <c r="A234" s="41"/>
      <c r="B234" s="2"/>
      <c r="C234" s="2"/>
      <c r="D234" s="2"/>
      <c r="E234" s="2"/>
      <c r="F234" s="2"/>
      <c r="G234" s="2"/>
      <c r="H234" s="33"/>
    </row>
    <row r="235" spans="1:8" x14ac:dyDescent="0.25">
      <c r="A235" s="41"/>
      <c r="B235" s="2"/>
      <c r="C235" s="2"/>
      <c r="D235" s="2"/>
      <c r="E235" s="2"/>
      <c r="F235" s="2"/>
      <c r="G235" s="2"/>
      <c r="H235" s="33"/>
    </row>
    <row r="236" spans="1:8" x14ac:dyDescent="0.25">
      <c r="A236" s="41"/>
      <c r="B236" s="2"/>
      <c r="C236" s="2"/>
      <c r="D236" s="2"/>
      <c r="E236" s="2"/>
      <c r="F236" s="2"/>
      <c r="G236" s="2"/>
      <c r="H236" s="33"/>
    </row>
    <row r="237" spans="1:8" x14ac:dyDescent="0.25">
      <c r="A237" s="41"/>
      <c r="B237" s="2"/>
      <c r="C237" s="2"/>
      <c r="D237" s="2"/>
      <c r="E237" s="2"/>
      <c r="F237" s="2"/>
      <c r="G237" s="2"/>
      <c r="H237" s="33"/>
    </row>
    <row r="238" spans="1:8" x14ac:dyDescent="0.25">
      <c r="A238" s="41"/>
      <c r="B238" s="2"/>
      <c r="C238" s="2"/>
      <c r="D238" s="2"/>
      <c r="E238" s="2"/>
      <c r="F238" s="2"/>
      <c r="G238" s="2"/>
      <c r="H238" s="33"/>
    </row>
    <row r="239" spans="1:8" x14ac:dyDescent="0.25">
      <c r="A239" s="41"/>
      <c r="B239" s="2"/>
      <c r="C239" s="2"/>
      <c r="D239" s="2"/>
      <c r="E239" s="2"/>
      <c r="F239" s="2"/>
      <c r="G239" s="2"/>
      <c r="H239" s="33"/>
    </row>
    <row r="240" spans="1:8" x14ac:dyDescent="0.25">
      <c r="A240" s="41"/>
      <c r="B240" s="2"/>
      <c r="C240" s="2"/>
      <c r="D240" s="2"/>
      <c r="E240" s="2"/>
      <c r="F240" s="2"/>
      <c r="G240" s="2"/>
      <c r="H240" s="33"/>
    </row>
    <row r="241" spans="1:8" x14ac:dyDescent="0.25">
      <c r="A241" s="41"/>
      <c r="B241" s="2"/>
      <c r="C241" s="2"/>
      <c r="D241" s="2"/>
      <c r="E241" s="2"/>
      <c r="F241" s="2"/>
      <c r="G241" s="2"/>
      <c r="H241" s="33"/>
    </row>
    <row r="242" spans="1:8" x14ac:dyDescent="0.25">
      <c r="A242" s="41"/>
      <c r="B242" s="2"/>
      <c r="C242" s="2"/>
      <c r="D242" s="2"/>
      <c r="E242" s="2"/>
      <c r="F242" s="2"/>
      <c r="G242" s="2"/>
      <c r="H242" s="33"/>
    </row>
    <row r="243" spans="1:8" x14ac:dyDescent="0.25">
      <c r="A243" s="41"/>
      <c r="B243" s="2"/>
      <c r="C243" s="2"/>
      <c r="D243" s="2"/>
      <c r="E243" s="2"/>
      <c r="F243" s="2"/>
      <c r="G243" s="2"/>
      <c r="H243" s="33"/>
    </row>
    <row r="244" spans="1:8" x14ac:dyDescent="0.25">
      <c r="A244" s="41"/>
      <c r="B244" s="2"/>
      <c r="C244" s="2"/>
      <c r="D244" s="2"/>
      <c r="E244" s="2"/>
      <c r="F244" s="2"/>
      <c r="G244" s="2"/>
      <c r="H244" s="33"/>
    </row>
    <row r="245" spans="1:8" x14ac:dyDescent="0.25">
      <c r="A245" s="41"/>
      <c r="B245" s="2"/>
      <c r="C245" s="2"/>
      <c r="D245" s="2"/>
      <c r="E245" s="2"/>
      <c r="F245" s="2"/>
      <c r="G245" s="2"/>
      <c r="H245" s="33"/>
    </row>
    <row r="246" spans="1:8" x14ac:dyDescent="0.25">
      <c r="A246" s="41"/>
      <c r="B246" s="2"/>
      <c r="C246" s="2"/>
      <c r="D246" s="2"/>
      <c r="E246" s="2"/>
      <c r="F246" s="2"/>
      <c r="G246" s="2"/>
      <c r="H246" s="33"/>
    </row>
    <row r="247" spans="1:8" x14ac:dyDescent="0.25">
      <c r="A247" s="41"/>
      <c r="B247" s="2"/>
      <c r="C247" s="2"/>
      <c r="D247" s="2"/>
      <c r="E247" s="2"/>
      <c r="F247" s="2"/>
      <c r="G247" s="2"/>
      <c r="H247" s="33"/>
    </row>
    <row r="248" spans="1:8" x14ac:dyDescent="0.25">
      <c r="A248" s="41"/>
      <c r="B248" s="2"/>
      <c r="C248" s="2"/>
      <c r="D248" s="2"/>
      <c r="E248" s="2"/>
      <c r="F248" s="2"/>
      <c r="G248" s="2"/>
      <c r="H248" s="33"/>
    </row>
    <row r="249" spans="1:8" x14ac:dyDescent="0.25">
      <c r="A249" s="41"/>
      <c r="B249" s="2"/>
      <c r="C249" s="2"/>
      <c r="D249" s="2"/>
      <c r="E249" s="2"/>
      <c r="F249" s="2"/>
      <c r="G249" s="2"/>
      <c r="H249" s="33"/>
    </row>
    <row r="250" spans="1:8" x14ac:dyDescent="0.25">
      <c r="A250" s="41"/>
      <c r="B250" s="2"/>
      <c r="C250" s="2"/>
      <c r="D250" s="2"/>
      <c r="E250" s="2"/>
      <c r="F250" s="2"/>
      <c r="G250" s="2"/>
      <c r="H250" s="33"/>
    </row>
    <row r="251" spans="1:8" x14ac:dyDescent="0.25">
      <c r="A251" s="41"/>
      <c r="B251" s="2"/>
      <c r="C251" s="2"/>
      <c r="D251" s="2"/>
      <c r="E251" s="2"/>
      <c r="F251" s="2"/>
      <c r="G251" s="2"/>
      <c r="H251" s="33"/>
    </row>
    <row r="252" spans="1:8" x14ac:dyDescent="0.25">
      <c r="A252" s="41"/>
      <c r="B252" s="2"/>
      <c r="C252" s="2"/>
      <c r="D252" s="2"/>
      <c r="E252" s="2"/>
      <c r="F252" s="2"/>
      <c r="G252" s="2"/>
      <c r="H252" s="33"/>
    </row>
    <row r="253" spans="1:8" x14ac:dyDescent="0.25">
      <c r="A253" s="41"/>
      <c r="B253" s="2"/>
      <c r="C253" s="2"/>
      <c r="D253" s="2"/>
      <c r="E253" s="2"/>
      <c r="F253" s="2"/>
      <c r="G253" s="2"/>
      <c r="H253" s="33"/>
    </row>
    <row r="254" spans="1:8" x14ac:dyDescent="0.25">
      <c r="A254" s="41"/>
      <c r="B254" s="2"/>
      <c r="C254" s="2"/>
      <c r="D254" s="2"/>
      <c r="E254" s="2"/>
      <c r="F254" s="2"/>
      <c r="G254" s="2"/>
      <c r="H254" s="33"/>
    </row>
    <row r="255" spans="1:8" x14ac:dyDescent="0.25">
      <c r="A255" s="41"/>
      <c r="B255" s="2"/>
      <c r="C255" s="2"/>
      <c r="D255" s="2"/>
      <c r="E255" s="2"/>
      <c r="F255" s="2"/>
      <c r="G255" s="2"/>
      <c r="H255" s="33"/>
    </row>
    <row r="256" spans="1:8" x14ac:dyDescent="0.25">
      <c r="A256" s="41"/>
      <c r="B256" s="2"/>
      <c r="C256" s="2"/>
      <c r="D256" s="2"/>
      <c r="E256" s="2"/>
      <c r="F256" s="2"/>
      <c r="G256" s="2"/>
      <c r="H256" s="33"/>
    </row>
    <row r="257" spans="1:8" x14ac:dyDescent="0.25">
      <c r="A257" s="41"/>
      <c r="B257" s="2"/>
      <c r="C257" s="2"/>
      <c r="D257" s="2"/>
      <c r="E257" s="2"/>
      <c r="F257" s="2"/>
      <c r="G257" s="2"/>
      <c r="H257" s="33"/>
    </row>
    <row r="258" spans="1:8" x14ac:dyDescent="0.25">
      <c r="A258" s="41"/>
      <c r="B258" s="2"/>
      <c r="C258" s="2"/>
      <c r="D258" s="2"/>
      <c r="E258" s="2"/>
      <c r="F258" s="2"/>
      <c r="G258" s="2"/>
      <c r="H258" s="33"/>
    </row>
    <row r="259" spans="1:8" x14ac:dyDescent="0.25">
      <c r="A259" s="41"/>
      <c r="B259" s="2"/>
      <c r="C259" s="2"/>
      <c r="D259" s="2"/>
      <c r="E259" s="2"/>
      <c r="F259" s="2"/>
      <c r="G259" s="2"/>
      <c r="H259" s="33"/>
    </row>
    <row r="260" spans="1:8" x14ac:dyDescent="0.25">
      <c r="A260" s="41"/>
      <c r="B260" s="2"/>
      <c r="C260" s="2"/>
      <c r="D260" s="2"/>
      <c r="E260" s="2"/>
      <c r="F260" s="2"/>
      <c r="G260" s="2"/>
      <c r="H260" s="33"/>
    </row>
    <row r="261" spans="1:8" x14ac:dyDescent="0.25">
      <c r="A261" s="41"/>
      <c r="B261" s="2"/>
      <c r="C261" s="2"/>
      <c r="D261" s="2"/>
      <c r="E261" s="2"/>
      <c r="F261" s="2"/>
      <c r="G261" s="2"/>
      <c r="H261" s="33"/>
    </row>
    <row r="262" spans="1:8" x14ac:dyDescent="0.25">
      <c r="A262" s="41"/>
      <c r="B262" s="2"/>
      <c r="C262" s="2"/>
      <c r="D262" s="2"/>
      <c r="E262" s="2"/>
      <c r="F262" s="2"/>
      <c r="G262" s="2"/>
      <c r="H262" s="33"/>
    </row>
    <row r="263" spans="1:8" x14ac:dyDescent="0.25">
      <c r="A263" s="41"/>
      <c r="B263" s="2"/>
      <c r="C263" s="2"/>
      <c r="D263" s="2"/>
      <c r="E263" s="2"/>
      <c r="F263" s="2"/>
      <c r="G263" s="2"/>
      <c r="H263" s="33"/>
    </row>
    <row r="264" spans="1:8" x14ac:dyDescent="0.25">
      <c r="A264" s="41"/>
      <c r="B264" s="2"/>
      <c r="C264" s="2"/>
      <c r="D264" s="2"/>
      <c r="E264" s="2"/>
      <c r="F264" s="2"/>
      <c r="G264" s="2"/>
      <c r="H264" s="33"/>
    </row>
    <row r="265" spans="1:8" x14ac:dyDescent="0.25">
      <c r="A265" s="41"/>
      <c r="B265" s="2"/>
      <c r="C265" s="2"/>
      <c r="D265" s="2"/>
      <c r="E265" s="2"/>
      <c r="F265" s="2"/>
      <c r="G265" s="2"/>
      <c r="H265" s="33"/>
    </row>
    <row r="266" spans="1:8" x14ac:dyDescent="0.25">
      <c r="A266" s="41"/>
      <c r="B266" s="2"/>
      <c r="C266" s="2"/>
      <c r="D266" s="2"/>
      <c r="E266" s="2"/>
      <c r="F266" s="2"/>
      <c r="G266" s="2"/>
      <c r="H266" s="33"/>
    </row>
    <row r="267" spans="1:8" x14ac:dyDescent="0.25">
      <c r="A267" s="41"/>
      <c r="B267" s="2"/>
      <c r="C267" s="2"/>
      <c r="D267" s="2"/>
      <c r="E267" s="2"/>
      <c r="F267" s="2"/>
      <c r="G267" s="2"/>
      <c r="H267" s="33"/>
    </row>
  </sheetData>
  <sheetProtection selectLockedCells="1" selectUnlockedCells="1"/>
  <autoFilter ref="A3:H3" xr:uid="{00000000-0009-0000-0000-000001000000}">
    <filterColumn colId="0">
      <filters>
        <filter val="Data"/>
      </filters>
    </filterColumn>
  </autoFilter>
  <mergeCells count="2">
    <mergeCell ref="A2:J2"/>
    <mergeCell ref="A1:J1"/>
  </mergeCells>
  <conditionalFormatting sqref="I6:I1048576">
    <cfRule type="cellIs" dxfId="45" priority="24" operator="equal">
      <formula>"COM DOCUMENTO"</formula>
    </cfRule>
    <cfRule type="cellIs" dxfId="44" priority="25" operator="equal">
      <formula>"SEM DOCUMENTO"</formula>
    </cfRule>
  </conditionalFormatting>
  <conditionalFormatting sqref="J6:J1048576">
    <cfRule type="cellIs" dxfId="43" priority="22" operator="equal">
      <formula>"RESOLVIDO"</formula>
    </cfRule>
    <cfRule type="cellIs" dxfId="42" priority="23" operator="equal">
      <formula>"PENDENTE"</formula>
    </cfRule>
  </conditionalFormatting>
  <conditionalFormatting sqref="I3">
    <cfRule type="cellIs" dxfId="41" priority="13" operator="equal">
      <formula>"COM DOCUMENTO"</formula>
    </cfRule>
    <cfRule type="cellIs" dxfId="40" priority="14" operator="equal">
      <formula>"SEM DOCUMENTO"</formula>
    </cfRule>
  </conditionalFormatting>
  <conditionalFormatting sqref="I3:I5">
    <cfRule type="cellIs" dxfId="39" priority="10" operator="equal">
      <formula>"COM DOCUMENTO"</formula>
    </cfRule>
    <cfRule type="cellIs" dxfId="38" priority="11" operator="equal">
      <formula>"COM DOCUMENTO"</formula>
    </cfRule>
    <cfRule type="cellIs" dxfId="37" priority="12" operator="equal">
      <formula>"SEM DOCUMENTO"</formula>
    </cfRule>
  </conditionalFormatting>
  <conditionalFormatting sqref="J3:J5">
    <cfRule type="cellIs" dxfId="36" priority="8" operator="equal">
      <formula>"RESOLVIDO"</formula>
    </cfRule>
    <cfRule type="cellIs" dxfId="35" priority="9" operator="equal">
      <formula>"PENDENTE"</formula>
    </cfRule>
  </conditionalFormatting>
  <conditionalFormatting sqref="I1:I1048576">
    <cfRule type="cellIs" dxfId="34" priority="7" operator="equal">
      <formula>"ERROR CRIAÇÃO"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 filterMode="1">
    <tabColor theme="2" tint="-0.249977111117893"/>
  </sheetPr>
  <dimension ref="A1:K111"/>
  <sheetViews>
    <sheetView workbookViewId="0">
      <selection activeCell="I10" sqref="I10"/>
    </sheetView>
  </sheetViews>
  <sheetFormatPr defaultRowHeight="15" x14ac:dyDescent="0.25"/>
  <cols>
    <col min="1" max="1" width="13.42578125" style="39" customWidth="1"/>
    <col min="2" max="2" width="15" style="37" customWidth="1"/>
    <col min="3" max="3" width="7.7109375" customWidth="1"/>
    <col min="4" max="4" width="12.42578125" style="37" bestFit="1" customWidth="1"/>
    <col min="5" max="5" width="25.28515625" bestFit="1" customWidth="1"/>
    <col min="6" max="6" width="23.42578125" customWidth="1"/>
    <col min="7" max="7" width="39.7109375" customWidth="1"/>
    <col min="8" max="8" width="12.140625" bestFit="1" customWidth="1"/>
    <col min="9" max="9" width="30.28515625" style="2" customWidth="1"/>
    <col min="10" max="10" width="15.7109375" style="34" customWidth="1"/>
    <col min="11" max="11" width="72.28515625" style="35" customWidth="1"/>
    <col min="12" max="12" width="14.42578125" customWidth="1"/>
  </cols>
  <sheetData>
    <row r="1" spans="1:11" ht="26.25" x14ac:dyDescent="0.4">
      <c r="A1" s="145" t="s">
        <v>43</v>
      </c>
      <c r="B1" s="146"/>
      <c r="C1" s="146"/>
      <c r="D1" s="146"/>
      <c r="E1" s="146"/>
      <c r="F1" s="146"/>
      <c r="G1" s="146"/>
      <c r="H1" s="146"/>
      <c r="I1" s="146"/>
      <c r="J1" s="147"/>
    </row>
    <row r="2" spans="1:11" x14ac:dyDescent="0.25">
      <c r="A2" s="142"/>
      <c r="B2" s="143"/>
      <c r="C2" s="143"/>
      <c r="D2" s="143"/>
      <c r="E2" s="143"/>
      <c r="F2" s="143"/>
      <c r="G2" s="143"/>
      <c r="H2" s="143"/>
      <c r="I2" s="143"/>
      <c r="J2" s="144"/>
    </row>
    <row r="3" spans="1:11" x14ac:dyDescent="0.25">
      <c r="A3" s="38" t="s">
        <v>0</v>
      </c>
      <c r="B3" s="36" t="s">
        <v>1</v>
      </c>
      <c r="C3" s="2" t="s">
        <v>2</v>
      </c>
      <c r="D3" s="36" t="s">
        <v>26</v>
      </c>
      <c r="E3" s="2" t="s">
        <v>3</v>
      </c>
      <c r="F3" s="2" t="s">
        <v>4</v>
      </c>
      <c r="G3" s="2" t="s">
        <v>5</v>
      </c>
      <c r="H3" s="33" t="s">
        <v>6</v>
      </c>
      <c r="I3" s="34" t="s">
        <v>38</v>
      </c>
      <c r="J3" s="34" t="s">
        <v>39</v>
      </c>
      <c r="K3" s="35" t="s">
        <v>37</v>
      </c>
    </row>
    <row r="4" spans="1:11" x14ac:dyDescent="0.25">
      <c r="A4" s="38"/>
      <c r="B4" s="36"/>
      <c r="C4" s="2"/>
      <c r="D4" s="36"/>
      <c r="E4" s="2"/>
      <c r="F4" s="2"/>
      <c r="G4" s="2"/>
      <c r="H4" s="33"/>
    </row>
    <row r="5" spans="1:11" x14ac:dyDescent="0.25">
      <c r="A5" s="38"/>
      <c r="B5" s="36"/>
      <c r="C5" s="2"/>
      <c r="D5" s="36"/>
      <c r="E5" s="2"/>
      <c r="F5" s="2"/>
      <c r="G5" s="2"/>
      <c r="H5" s="33"/>
    </row>
    <row r="6" spans="1:11" x14ac:dyDescent="0.25">
      <c r="A6" s="38"/>
      <c r="B6" s="36"/>
      <c r="C6" s="2"/>
      <c r="D6" s="36"/>
      <c r="E6" s="2"/>
      <c r="F6" s="2"/>
      <c r="G6" s="2"/>
      <c r="H6" s="33"/>
    </row>
    <row r="7" spans="1:11" x14ac:dyDescent="0.25">
      <c r="A7" s="38"/>
      <c r="B7" s="36"/>
      <c r="C7" s="2"/>
      <c r="D7" s="36"/>
      <c r="E7" s="2"/>
      <c r="F7" s="2"/>
      <c r="G7" s="2"/>
      <c r="H7" s="33"/>
    </row>
    <row r="8" spans="1:11" x14ac:dyDescent="0.25">
      <c r="A8" s="38"/>
      <c r="B8" s="36"/>
      <c r="C8" s="2"/>
      <c r="D8" s="36"/>
      <c r="E8" s="2"/>
      <c r="F8" s="2"/>
      <c r="G8" s="2"/>
      <c r="H8" s="33"/>
    </row>
    <row r="9" spans="1:11" x14ac:dyDescent="0.25">
      <c r="A9" s="38"/>
      <c r="B9" s="36"/>
      <c r="C9" s="2"/>
      <c r="D9" s="36"/>
      <c r="E9" s="2"/>
      <c r="F9" s="2"/>
      <c r="G9" s="2"/>
      <c r="H9" s="33"/>
    </row>
    <row r="10" spans="1:11" x14ac:dyDescent="0.25">
      <c r="A10" s="38"/>
      <c r="B10" s="36"/>
      <c r="C10" s="2"/>
      <c r="D10" s="36"/>
      <c r="E10" s="2"/>
      <c r="F10" s="2"/>
      <c r="G10" s="2"/>
      <c r="H10" s="33"/>
    </row>
    <row r="11" spans="1:11" x14ac:dyDescent="0.25">
      <c r="A11" s="38"/>
      <c r="B11" s="36"/>
      <c r="C11" s="2"/>
      <c r="D11" s="36"/>
      <c r="E11" s="2"/>
      <c r="F11" s="2"/>
      <c r="G11" s="2"/>
      <c r="H11" s="33"/>
    </row>
    <row r="12" spans="1:11" x14ac:dyDescent="0.25">
      <c r="A12" s="38"/>
      <c r="B12" s="36"/>
      <c r="C12" s="2"/>
      <c r="D12" s="36"/>
      <c r="E12" s="2"/>
      <c r="F12" s="2"/>
      <c r="G12" s="2"/>
      <c r="H12" s="33"/>
    </row>
    <row r="13" spans="1:11" x14ac:dyDescent="0.25">
      <c r="A13" s="38"/>
      <c r="B13" s="36"/>
      <c r="C13" s="2"/>
      <c r="D13" s="36"/>
      <c r="E13" s="2"/>
      <c r="F13" s="2"/>
      <c r="G13" s="2"/>
      <c r="H13" s="33"/>
    </row>
    <row r="14" spans="1:11" x14ac:dyDescent="0.25">
      <c r="A14" s="38"/>
      <c r="B14" s="36"/>
      <c r="C14" s="2"/>
      <c r="D14" s="36"/>
      <c r="E14" s="2"/>
      <c r="F14" s="2"/>
      <c r="G14" s="2"/>
      <c r="H14" s="33"/>
    </row>
    <row r="15" spans="1:11" x14ac:dyDescent="0.25">
      <c r="A15" s="38"/>
      <c r="B15" s="36"/>
      <c r="C15" s="2"/>
      <c r="D15" s="36"/>
      <c r="E15" s="2"/>
      <c r="F15" s="2"/>
      <c r="G15" s="2"/>
      <c r="H15" s="33"/>
    </row>
    <row r="16" spans="1:11" x14ac:dyDescent="0.25">
      <c r="A16" s="38"/>
      <c r="B16" s="36"/>
      <c r="C16" s="2"/>
      <c r="D16" s="36"/>
      <c r="E16" s="2"/>
      <c r="F16" s="2"/>
      <c r="G16" s="2"/>
      <c r="H16" s="33"/>
    </row>
    <row r="17" spans="1:8" x14ac:dyDescent="0.25">
      <c r="A17" s="38"/>
      <c r="B17" s="36"/>
      <c r="C17" s="2"/>
      <c r="D17" s="36"/>
      <c r="E17" s="2"/>
      <c r="F17" s="2"/>
      <c r="G17" s="2"/>
      <c r="H17" s="33"/>
    </row>
    <row r="18" spans="1:8" x14ac:dyDescent="0.25">
      <c r="A18" s="38"/>
      <c r="B18" s="36"/>
      <c r="C18" s="2"/>
      <c r="D18" s="36"/>
      <c r="E18" s="2"/>
      <c r="F18" s="2"/>
      <c r="G18" s="2"/>
      <c r="H18" s="33"/>
    </row>
    <row r="19" spans="1:8" x14ac:dyDescent="0.25">
      <c r="A19" s="38"/>
      <c r="B19" s="36"/>
      <c r="C19" s="2"/>
      <c r="D19" s="36"/>
      <c r="E19" s="2"/>
      <c r="F19" s="2"/>
      <c r="G19" s="2"/>
      <c r="H19" s="33"/>
    </row>
    <row r="20" spans="1:8" x14ac:dyDescent="0.25">
      <c r="A20" s="38"/>
      <c r="B20" s="36"/>
      <c r="C20" s="2"/>
      <c r="D20" s="36"/>
      <c r="E20" s="2"/>
      <c r="F20" s="2"/>
      <c r="G20" s="2"/>
      <c r="H20" s="33"/>
    </row>
    <row r="21" spans="1:8" x14ac:dyDescent="0.25">
      <c r="A21" s="38"/>
      <c r="B21" s="36"/>
      <c r="C21" s="2"/>
      <c r="D21" s="36"/>
      <c r="E21" s="2"/>
      <c r="F21" s="2"/>
      <c r="G21" s="2"/>
      <c r="H21" s="33"/>
    </row>
    <row r="22" spans="1:8" x14ac:dyDescent="0.25">
      <c r="A22" s="38"/>
      <c r="B22" s="36"/>
      <c r="C22" s="2"/>
      <c r="D22" s="36"/>
      <c r="E22" s="2"/>
      <c r="F22" s="2"/>
      <c r="G22" s="2"/>
      <c r="H22" s="33"/>
    </row>
    <row r="23" spans="1:8" x14ac:dyDescent="0.25">
      <c r="A23" s="38"/>
      <c r="B23" s="36"/>
      <c r="C23" s="2"/>
      <c r="D23" s="36"/>
      <c r="E23" s="2"/>
      <c r="F23" s="2"/>
      <c r="G23" s="2"/>
      <c r="H23" s="33"/>
    </row>
    <row r="24" spans="1:8" x14ac:dyDescent="0.25">
      <c r="A24" s="38"/>
      <c r="B24" s="36"/>
      <c r="C24" s="2"/>
      <c r="D24" s="36"/>
      <c r="E24" s="2"/>
      <c r="F24" s="2"/>
      <c r="G24" s="2"/>
      <c r="H24" s="33"/>
    </row>
    <row r="25" spans="1:8" x14ac:dyDescent="0.25">
      <c r="A25" s="38"/>
      <c r="B25" s="36"/>
      <c r="C25" s="2"/>
      <c r="D25" s="36"/>
      <c r="E25" s="2"/>
      <c r="F25" s="2"/>
      <c r="G25" s="2"/>
      <c r="H25" s="33"/>
    </row>
    <row r="26" spans="1:8" x14ac:dyDescent="0.25">
      <c r="A26" s="38"/>
      <c r="B26" s="36"/>
      <c r="C26" s="2"/>
      <c r="D26" s="36"/>
      <c r="E26" s="2"/>
      <c r="F26" s="2"/>
      <c r="G26" s="2"/>
      <c r="H26" s="33"/>
    </row>
    <row r="27" spans="1:8" x14ac:dyDescent="0.25">
      <c r="A27" s="38"/>
      <c r="B27" s="36"/>
      <c r="C27" s="2"/>
      <c r="D27" s="36"/>
      <c r="E27" s="2"/>
      <c r="F27" s="2"/>
      <c r="G27" s="2"/>
      <c r="H27" s="33"/>
    </row>
    <row r="28" spans="1:8" x14ac:dyDescent="0.25">
      <c r="A28" s="38"/>
      <c r="B28" s="36"/>
      <c r="C28" s="2"/>
      <c r="D28" s="36"/>
      <c r="E28" s="2"/>
      <c r="F28" s="2"/>
      <c r="G28" s="2"/>
      <c r="H28" s="33"/>
    </row>
    <row r="29" spans="1:8" x14ac:dyDescent="0.25">
      <c r="A29" s="38"/>
      <c r="B29" s="36"/>
      <c r="C29" s="2"/>
      <c r="D29" s="36"/>
      <c r="E29" s="2"/>
      <c r="F29" s="2"/>
      <c r="G29" s="2"/>
      <c r="H29" s="33"/>
    </row>
    <row r="30" spans="1:8" x14ac:dyDescent="0.25">
      <c r="A30" s="38"/>
      <c r="B30" s="36"/>
      <c r="C30" s="2"/>
      <c r="D30" s="36"/>
      <c r="E30" s="2"/>
      <c r="F30" s="2"/>
      <c r="G30" s="2"/>
      <c r="H30" s="33"/>
    </row>
    <row r="31" spans="1:8" x14ac:dyDescent="0.25">
      <c r="A31" s="38"/>
      <c r="B31" s="36"/>
      <c r="C31" s="2"/>
      <c r="D31" s="36"/>
      <c r="E31" s="2"/>
      <c r="F31" s="2"/>
      <c r="G31" s="2"/>
      <c r="H31" s="33"/>
    </row>
    <row r="32" spans="1:8" x14ac:dyDescent="0.25">
      <c r="A32" s="38"/>
      <c r="B32" s="36"/>
      <c r="C32" s="2"/>
      <c r="D32" s="36"/>
      <c r="E32" s="2"/>
      <c r="F32" s="2"/>
      <c r="G32" s="2"/>
      <c r="H32" s="33"/>
    </row>
    <row r="33" spans="1:8" x14ac:dyDescent="0.25">
      <c r="A33" s="38"/>
      <c r="B33" s="36"/>
      <c r="C33" s="2"/>
      <c r="D33" s="36"/>
      <c r="E33" s="2"/>
      <c r="F33" s="2"/>
      <c r="G33" s="2"/>
      <c r="H33" s="33"/>
    </row>
    <row r="34" spans="1:8" x14ac:dyDescent="0.25">
      <c r="A34" s="38"/>
      <c r="B34" s="36"/>
      <c r="C34" s="2"/>
      <c r="D34" s="36"/>
      <c r="E34" s="2"/>
      <c r="F34" s="2"/>
      <c r="G34" s="2"/>
      <c r="H34" s="33"/>
    </row>
    <row r="35" spans="1:8" x14ac:dyDescent="0.25">
      <c r="A35" s="38"/>
      <c r="B35" s="36"/>
      <c r="C35" s="2"/>
      <c r="D35" s="36"/>
      <c r="E35" s="2"/>
      <c r="F35" s="2"/>
      <c r="G35" s="2"/>
      <c r="H35" s="33"/>
    </row>
    <row r="36" spans="1:8" x14ac:dyDescent="0.25">
      <c r="A36" s="38"/>
      <c r="B36" s="36"/>
      <c r="C36" s="2"/>
      <c r="D36" s="36"/>
      <c r="E36" s="2"/>
      <c r="F36" s="2"/>
      <c r="G36" s="2"/>
      <c r="H36" s="33"/>
    </row>
    <row r="37" spans="1:8" x14ac:dyDescent="0.25">
      <c r="A37" s="38"/>
      <c r="B37" s="36"/>
      <c r="C37" s="2"/>
      <c r="D37" s="36"/>
      <c r="E37" s="2"/>
      <c r="F37" s="2"/>
      <c r="G37" s="2"/>
      <c r="H37" s="33"/>
    </row>
    <row r="38" spans="1:8" x14ac:dyDescent="0.25">
      <c r="A38" s="38"/>
      <c r="B38" s="36"/>
      <c r="C38" s="2"/>
      <c r="D38" s="36"/>
      <c r="E38" s="2"/>
      <c r="F38" s="2"/>
      <c r="G38" s="2"/>
      <c r="H38" s="33"/>
    </row>
    <row r="39" spans="1:8" x14ac:dyDescent="0.25">
      <c r="A39" s="38"/>
      <c r="B39" s="36"/>
      <c r="C39" s="2"/>
      <c r="D39" s="36"/>
      <c r="E39" s="2"/>
      <c r="F39" s="2"/>
      <c r="G39" s="2"/>
      <c r="H39" s="33"/>
    </row>
    <row r="40" spans="1:8" x14ac:dyDescent="0.25">
      <c r="A40" s="38"/>
      <c r="B40" s="36"/>
      <c r="C40" s="2"/>
      <c r="D40" s="36"/>
      <c r="E40" s="2"/>
      <c r="F40" s="2"/>
      <c r="G40" s="2"/>
      <c r="H40" s="33"/>
    </row>
    <row r="41" spans="1:8" x14ac:dyDescent="0.25">
      <c r="A41" s="38"/>
      <c r="B41" s="36"/>
      <c r="C41" s="2"/>
      <c r="D41" s="36"/>
      <c r="E41" s="2"/>
      <c r="F41" s="2"/>
      <c r="G41" s="2"/>
      <c r="H41" s="33"/>
    </row>
    <row r="42" spans="1:8" x14ac:dyDescent="0.25">
      <c r="A42" s="38"/>
      <c r="B42" s="36"/>
      <c r="C42" s="2"/>
      <c r="D42" s="36"/>
      <c r="E42" s="2"/>
      <c r="F42" s="2"/>
      <c r="G42" s="2"/>
      <c r="H42" s="33"/>
    </row>
    <row r="43" spans="1:8" x14ac:dyDescent="0.25">
      <c r="A43" s="38"/>
      <c r="B43" s="36"/>
      <c r="C43" s="2"/>
      <c r="D43" s="36"/>
      <c r="E43" s="2"/>
      <c r="F43" s="2"/>
      <c r="G43" s="2"/>
      <c r="H43" s="33"/>
    </row>
    <row r="44" spans="1:8" x14ac:dyDescent="0.25">
      <c r="A44" s="38"/>
      <c r="B44" s="36"/>
      <c r="C44" s="2"/>
      <c r="D44" s="36"/>
      <c r="E44" s="2"/>
      <c r="F44" s="2"/>
      <c r="G44" s="2"/>
      <c r="H44" s="33"/>
    </row>
    <row r="45" spans="1:8" x14ac:dyDescent="0.25">
      <c r="A45" s="38"/>
      <c r="B45" s="36"/>
      <c r="C45" s="2"/>
      <c r="D45" s="36"/>
      <c r="E45" s="2"/>
      <c r="F45" s="2"/>
      <c r="G45" s="2"/>
      <c r="H45" s="33"/>
    </row>
    <row r="46" spans="1:8" x14ac:dyDescent="0.25">
      <c r="A46" s="38"/>
      <c r="B46" s="36"/>
      <c r="C46" s="2"/>
      <c r="D46" s="36"/>
      <c r="E46" s="2"/>
      <c r="F46" s="2"/>
      <c r="G46" s="2"/>
      <c r="H46" s="33"/>
    </row>
    <row r="47" spans="1:8" x14ac:dyDescent="0.25">
      <c r="A47" s="38"/>
      <c r="B47" s="36"/>
      <c r="C47" s="2"/>
      <c r="D47" s="36"/>
      <c r="E47" s="2"/>
      <c r="F47" s="2"/>
      <c r="G47" s="2"/>
      <c r="H47" s="33"/>
    </row>
    <row r="48" spans="1:8" x14ac:dyDescent="0.25">
      <c r="A48" s="38"/>
      <c r="B48" s="36"/>
      <c r="C48" s="2"/>
      <c r="D48" s="36"/>
      <c r="E48" s="2"/>
      <c r="F48" s="2"/>
      <c r="G48" s="2"/>
      <c r="H48" s="33"/>
    </row>
    <row r="49" spans="1:8" x14ac:dyDescent="0.25">
      <c r="A49" s="38"/>
      <c r="B49" s="36"/>
      <c r="C49" s="2"/>
      <c r="D49" s="36"/>
      <c r="E49" s="2"/>
      <c r="F49" s="2"/>
      <c r="G49" s="2"/>
      <c r="H49" s="33"/>
    </row>
    <row r="50" spans="1:8" x14ac:dyDescent="0.25">
      <c r="A50" s="38"/>
      <c r="B50" s="36"/>
      <c r="C50" s="2"/>
      <c r="D50" s="36"/>
      <c r="E50" s="2"/>
      <c r="F50" s="2"/>
      <c r="G50" s="2"/>
      <c r="H50" s="33"/>
    </row>
    <row r="51" spans="1:8" x14ac:dyDescent="0.25">
      <c r="A51" s="38"/>
      <c r="B51" s="36"/>
      <c r="C51" s="2"/>
      <c r="D51" s="36"/>
      <c r="E51" s="2"/>
      <c r="F51" s="2"/>
      <c r="G51" s="2"/>
      <c r="H51" s="33"/>
    </row>
    <row r="52" spans="1:8" x14ac:dyDescent="0.25">
      <c r="A52" s="38"/>
      <c r="B52" s="36"/>
      <c r="C52" s="2"/>
      <c r="D52" s="36"/>
      <c r="E52" s="2"/>
      <c r="F52" s="2"/>
      <c r="G52" s="2"/>
      <c r="H52" s="33"/>
    </row>
    <row r="53" spans="1:8" x14ac:dyDescent="0.25">
      <c r="A53" s="38"/>
      <c r="B53" s="36"/>
      <c r="C53" s="2"/>
      <c r="D53" s="36"/>
      <c r="E53" s="2"/>
      <c r="F53" s="2"/>
      <c r="G53" s="2"/>
      <c r="H53" s="33"/>
    </row>
    <row r="54" spans="1:8" x14ac:dyDescent="0.25">
      <c r="A54" s="38"/>
      <c r="B54" s="36"/>
      <c r="C54" s="2"/>
      <c r="D54" s="36"/>
      <c r="E54" s="2"/>
      <c r="F54" s="2"/>
      <c r="G54" s="2"/>
      <c r="H54" s="33"/>
    </row>
    <row r="55" spans="1:8" x14ac:dyDescent="0.25">
      <c r="A55" s="38"/>
      <c r="B55" s="36"/>
      <c r="C55" s="2"/>
      <c r="D55" s="36"/>
      <c r="E55" s="2"/>
      <c r="F55" s="2"/>
      <c r="G55" s="2"/>
      <c r="H55" s="33"/>
    </row>
    <row r="56" spans="1:8" x14ac:dyDescent="0.25">
      <c r="A56" s="38"/>
      <c r="B56" s="36"/>
      <c r="C56" s="2"/>
      <c r="D56" s="36"/>
      <c r="E56" s="2"/>
      <c r="F56" s="2"/>
      <c r="G56" s="2"/>
      <c r="H56" s="33"/>
    </row>
    <row r="57" spans="1:8" x14ac:dyDescent="0.25">
      <c r="A57" s="38"/>
      <c r="B57" s="36"/>
      <c r="C57" s="2"/>
      <c r="D57" s="36"/>
      <c r="E57" s="2"/>
      <c r="F57" s="2"/>
      <c r="G57" s="2"/>
      <c r="H57" s="33"/>
    </row>
    <row r="58" spans="1:8" x14ac:dyDescent="0.25">
      <c r="A58" s="38"/>
      <c r="B58" s="36"/>
      <c r="C58" s="2"/>
      <c r="D58" s="36"/>
      <c r="E58" s="2"/>
      <c r="F58" s="2"/>
      <c r="G58" s="2"/>
      <c r="H58" s="33"/>
    </row>
    <row r="59" spans="1:8" x14ac:dyDescent="0.25">
      <c r="A59" s="38"/>
      <c r="B59" s="36"/>
      <c r="C59" s="2"/>
      <c r="D59" s="36"/>
      <c r="E59" s="2"/>
      <c r="F59" s="2"/>
      <c r="G59" s="2"/>
      <c r="H59" s="33"/>
    </row>
    <row r="60" spans="1:8" x14ac:dyDescent="0.25">
      <c r="A60" s="38"/>
      <c r="B60" s="36"/>
      <c r="C60" s="2"/>
      <c r="D60" s="36"/>
      <c r="E60" s="2"/>
      <c r="F60" s="2"/>
      <c r="G60" s="2"/>
      <c r="H60" s="33"/>
    </row>
    <row r="61" spans="1:8" x14ac:dyDescent="0.25">
      <c r="A61" s="38"/>
      <c r="B61" s="36"/>
      <c r="C61" s="2"/>
      <c r="D61" s="36"/>
      <c r="E61" s="2"/>
      <c r="F61" s="2"/>
      <c r="G61" s="2"/>
      <c r="H61" s="33"/>
    </row>
    <row r="62" spans="1:8" x14ac:dyDescent="0.25">
      <c r="A62" s="38"/>
      <c r="B62" s="36"/>
      <c r="C62" s="2"/>
      <c r="D62" s="36"/>
      <c r="E62" s="2"/>
      <c r="F62" s="2"/>
      <c r="G62" s="2"/>
      <c r="H62" s="33"/>
    </row>
    <row r="63" spans="1:8" x14ac:dyDescent="0.25">
      <c r="A63" s="38"/>
      <c r="B63" s="36"/>
      <c r="C63" s="2"/>
      <c r="D63" s="36"/>
      <c r="E63" s="2"/>
      <c r="F63" s="2"/>
      <c r="G63" s="2"/>
      <c r="H63" s="33"/>
    </row>
    <row r="64" spans="1:8" x14ac:dyDescent="0.25">
      <c r="A64" s="38"/>
      <c r="B64" s="36"/>
      <c r="C64" s="2"/>
      <c r="D64" s="36"/>
      <c r="E64" s="2"/>
      <c r="F64" s="2"/>
      <c r="G64" s="2"/>
      <c r="H64" s="33"/>
    </row>
    <row r="65" spans="1:8" x14ac:dyDescent="0.25">
      <c r="A65" s="38"/>
      <c r="B65" s="36"/>
      <c r="C65" s="2"/>
      <c r="D65" s="36"/>
      <c r="E65" s="2"/>
      <c r="F65" s="2"/>
      <c r="G65" s="2"/>
      <c r="H65" s="33"/>
    </row>
    <row r="66" spans="1:8" x14ac:dyDescent="0.25">
      <c r="A66" s="38"/>
      <c r="B66" s="36"/>
      <c r="C66" s="2"/>
      <c r="D66" s="36"/>
      <c r="E66" s="2"/>
      <c r="F66" s="2"/>
      <c r="G66" s="2"/>
      <c r="H66" s="33"/>
    </row>
    <row r="67" spans="1:8" x14ac:dyDescent="0.25">
      <c r="A67" s="38"/>
      <c r="B67" s="36"/>
      <c r="C67" s="2"/>
      <c r="D67" s="36"/>
      <c r="E67" s="2"/>
      <c r="F67" s="2"/>
      <c r="G67" s="2"/>
      <c r="H67" s="33"/>
    </row>
    <row r="68" spans="1:8" x14ac:dyDescent="0.25">
      <c r="A68" s="38"/>
      <c r="B68" s="36"/>
      <c r="C68" s="2"/>
      <c r="D68" s="36"/>
      <c r="E68" s="2"/>
      <c r="F68" s="2"/>
      <c r="G68" s="2"/>
      <c r="H68" s="33"/>
    </row>
    <row r="69" spans="1:8" x14ac:dyDescent="0.25">
      <c r="A69" s="38"/>
      <c r="B69" s="36"/>
      <c r="C69" s="2"/>
      <c r="D69" s="36"/>
      <c r="E69" s="2"/>
      <c r="F69" s="2"/>
      <c r="G69" s="2"/>
      <c r="H69" s="33"/>
    </row>
    <row r="70" spans="1:8" x14ac:dyDescent="0.25">
      <c r="A70" s="38"/>
      <c r="B70" s="36"/>
      <c r="C70" s="2"/>
      <c r="D70" s="36"/>
      <c r="E70" s="2"/>
      <c r="F70" s="2"/>
      <c r="G70" s="2"/>
      <c r="H70" s="33"/>
    </row>
    <row r="71" spans="1:8" x14ac:dyDescent="0.25">
      <c r="A71" s="38"/>
      <c r="B71" s="36"/>
      <c r="C71" s="2"/>
      <c r="D71" s="36"/>
      <c r="E71" s="2"/>
      <c r="F71" s="2"/>
      <c r="G71" s="2"/>
      <c r="H71" s="33"/>
    </row>
    <row r="72" spans="1:8" x14ac:dyDescent="0.25">
      <c r="A72" s="38"/>
      <c r="B72" s="36"/>
      <c r="C72" s="2"/>
      <c r="D72" s="36"/>
      <c r="E72" s="2"/>
      <c r="F72" s="2"/>
      <c r="G72" s="2"/>
      <c r="H72" s="33"/>
    </row>
    <row r="73" spans="1:8" x14ac:dyDescent="0.25">
      <c r="A73" s="38"/>
      <c r="B73" s="36"/>
      <c r="C73" s="2"/>
      <c r="D73" s="36"/>
      <c r="E73" s="2"/>
      <c r="F73" s="2"/>
      <c r="G73" s="2"/>
      <c r="H73" s="33"/>
    </row>
    <row r="74" spans="1:8" x14ac:dyDescent="0.25">
      <c r="A74" s="38"/>
      <c r="B74" s="36"/>
      <c r="C74" s="2"/>
      <c r="D74" s="36"/>
      <c r="E74" s="2"/>
      <c r="F74" s="2"/>
      <c r="G74" s="2"/>
      <c r="H74" s="33"/>
    </row>
    <row r="75" spans="1:8" x14ac:dyDescent="0.25">
      <c r="A75" s="38"/>
      <c r="B75" s="36"/>
      <c r="C75" s="2"/>
      <c r="D75" s="36"/>
      <c r="E75" s="2"/>
      <c r="F75" s="2"/>
      <c r="G75" s="2"/>
      <c r="H75" s="33"/>
    </row>
    <row r="76" spans="1:8" x14ac:dyDescent="0.25">
      <c r="A76" s="38"/>
      <c r="B76" s="36"/>
      <c r="C76" s="2"/>
      <c r="D76" s="36"/>
      <c r="E76" s="2"/>
      <c r="F76" s="2"/>
      <c r="G76" s="2"/>
      <c r="H76" s="33"/>
    </row>
    <row r="77" spans="1:8" x14ac:dyDescent="0.25">
      <c r="A77" s="38"/>
      <c r="B77" s="36"/>
      <c r="C77" s="2"/>
      <c r="D77" s="36"/>
      <c r="E77" s="2"/>
      <c r="F77" s="2"/>
      <c r="G77" s="2"/>
      <c r="H77" s="33"/>
    </row>
    <row r="78" spans="1:8" x14ac:dyDescent="0.25">
      <c r="A78" s="38"/>
      <c r="B78" s="36"/>
      <c r="C78" s="2"/>
      <c r="D78" s="36"/>
      <c r="E78" s="2"/>
      <c r="F78" s="2"/>
      <c r="G78" s="2"/>
      <c r="H78" s="33"/>
    </row>
    <row r="79" spans="1:8" x14ac:dyDescent="0.25">
      <c r="A79" s="38"/>
      <c r="B79" s="36"/>
      <c r="C79" s="2"/>
      <c r="D79" s="36"/>
      <c r="E79" s="2"/>
      <c r="F79" s="2"/>
      <c r="G79" s="2"/>
      <c r="H79" s="33"/>
    </row>
    <row r="80" spans="1:8" x14ac:dyDescent="0.25">
      <c r="A80" s="38"/>
      <c r="B80" s="36"/>
      <c r="C80" s="2"/>
      <c r="D80" s="36"/>
      <c r="E80" s="2"/>
      <c r="F80" s="2"/>
      <c r="G80" s="2"/>
      <c r="H80" s="33"/>
    </row>
    <row r="81" spans="1:8" x14ac:dyDescent="0.25">
      <c r="A81" s="38"/>
      <c r="B81" s="36"/>
      <c r="C81" s="2"/>
      <c r="D81" s="36"/>
      <c r="E81" s="2"/>
      <c r="F81" s="2"/>
      <c r="G81" s="2"/>
      <c r="H81" s="33"/>
    </row>
    <row r="82" spans="1:8" x14ac:dyDescent="0.25">
      <c r="A82" s="38"/>
      <c r="B82" s="36"/>
      <c r="C82" s="2"/>
      <c r="D82" s="36"/>
      <c r="E82" s="2"/>
      <c r="F82" s="2"/>
      <c r="G82" s="2"/>
      <c r="H82" s="33"/>
    </row>
    <row r="83" spans="1:8" x14ac:dyDescent="0.25">
      <c r="A83" s="38"/>
      <c r="B83" s="36"/>
      <c r="C83" s="2"/>
      <c r="D83" s="36"/>
      <c r="E83" s="2"/>
      <c r="F83" s="2"/>
      <c r="G83" s="2"/>
      <c r="H83" s="33"/>
    </row>
    <row r="84" spans="1:8" x14ac:dyDescent="0.25">
      <c r="A84" s="38"/>
      <c r="B84" s="36"/>
      <c r="C84" s="2"/>
      <c r="D84" s="36"/>
      <c r="E84" s="2"/>
      <c r="F84" s="2"/>
      <c r="G84" s="2"/>
      <c r="H84" s="33"/>
    </row>
    <row r="85" spans="1:8" x14ac:dyDescent="0.25">
      <c r="A85" s="38"/>
      <c r="B85" s="36"/>
      <c r="C85" s="2"/>
      <c r="D85" s="36"/>
      <c r="E85" s="2"/>
      <c r="F85" s="2"/>
      <c r="G85" s="2"/>
      <c r="H85" s="33"/>
    </row>
    <row r="86" spans="1:8" x14ac:dyDescent="0.25">
      <c r="A86" s="38"/>
      <c r="B86" s="36"/>
      <c r="C86" s="2"/>
      <c r="D86" s="36"/>
      <c r="E86" s="2"/>
      <c r="F86" s="2"/>
      <c r="G86" s="2"/>
      <c r="H86" s="33"/>
    </row>
    <row r="87" spans="1:8" x14ac:dyDescent="0.25">
      <c r="A87" s="38"/>
      <c r="B87" s="36"/>
      <c r="C87" s="2"/>
      <c r="D87" s="36"/>
      <c r="E87" s="2"/>
      <c r="F87" s="2"/>
      <c r="G87" s="2"/>
      <c r="H87" s="33"/>
    </row>
    <row r="88" spans="1:8" x14ac:dyDescent="0.25">
      <c r="A88" s="38"/>
      <c r="B88" s="36"/>
      <c r="C88" s="2"/>
      <c r="D88" s="36"/>
      <c r="E88" s="2"/>
      <c r="F88" s="2"/>
      <c r="G88" s="2"/>
      <c r="H88" s="33"/>
    </row>
    <row r="89" spans="1:8" x14ac:dyDescent="0.25">
      <c r="A89" s="38"/>
      <c r="B89" s="36"/>
      <c r="C89" s="2"/>
      <c r="D89" s="36"/>
      <c r="E89" s="2"/>
      <c r="F89" s="2"/>
      <c r="G89" s="2"/>
      <c r="H89" s="33"/>
    </row>
    <row r="90" spans="1:8" x14ac:dyDescent="0.25">
      <c r="A90" s="38"/>
      <c r="B90" s="36"/>
      <c r="C90" s="2"/>
      <c r="D90" s="36"/>
      <c r="E90" s="2"/>
      <c r="F90" s="2"/>
      <c r="G90" s="2"/>
      <c r="H90" s="33"/>
    </row>
    <row r="91" spans="1:8" x14ac:dyDescent="0.25">
      <c r="A91" s="38"/>
      <c r="B91" s="36"/>
      <c r="C91" s="2"/>
      <c r="D91" s="36"/>
      <c r="E91" s="2"/>
      <c r="F91" s="2"/>
      <c r="G91" s="2"/>
      <c r="H91" s="33"/>
    </row>
    <row r="92" spans="1:8" x14ac:dyDescent="0.25">
      <c r="A92" s="38"/>
      <c r="B92" s="36"/>
      <c r="C92" s="2"/>
      <c r="D92" s="36"/>
      <c r="E92" s="2"/>
      <c r="F92" s="2"/>
      <c r="G92" s="2"/>
      <c r="H92" s="33"/>
    </row>
    <row r="93" spans="1:8" x14ac:dyDescent="0.25">
      <c r="A93" s="38"/>
      <c r="B93" s="36"/>
      <c r="C93" s="2"/>
      <c r="D93" s="36"/>
      <c r="E93" s="2"/>
      <c r="F93" s="2"/>
      <c r="G93" s="2"/>
      <c r="H93" s="33"/>
    </row>
    <row r="94" spans="1:8" x14ac:dyDescent="0.25">
      <c r="A94" s="38"/>
      <c r="B94" s="36"/>
      <c r="C94" s="2"/>
      <c r="D94" s="36"/>
      <c r="E94" s="2"/>
      <c r="F94" s="2"/>
      <c r="G94" s="2"/>
      <c r="H94" s="33"/>
    </row>
    <row r="95" spans="1:8" x14ac:dyDescent="0.25">
      <c r="A95" s="38"/>
      <c r="B95" s="36"/>
      <c r="C95" s="2"/>
      <c r="D95" s="36"/>
      <c r="E95" s="2"/>
      <c r="F95" s="2"/>
      <c r="G95" s="2"/>
      <c r="H95" s="33"/>
    </row>
    <row r="96" spans="1:8" x14ac:dyDescent="0.25">
      <c r="A96" s="38"/>
      <c r="B96" s="36"/>
      <c r="C96" s="2"/>
      <c r="D96" s="36"/>
      <c r="E96" s="2"/>
      <c r="F96" s="2"/>
      <c r="G96" s="2"/>
      <c r="H96" s="33"/>
    </row>
    <row r="97" spans="1:8" x14ac:dyDescent="0.25">
      <c r="A97" s="38"/>
      <c r="B97" s="36"/>
      <c r="C97" s="2"/>
      <c r="D97" s="36"/>
      <c r="E97" s="2"/>
      <c r="F97" s="2"/>
      <c r="G97" s="2"/>
      <c r="H97" s="33"/>
    </row>
    <row r="98" spans="1:8" x14ac:dyDescent="0.25">
      <c r="A98" s="38"/>
      <c r="B98" s="36"/>
      <c r="C98" s="2"/>
      <c r="D98" s="36"/>
      <c r="E98" s="2"/>
      <c r="F98" s="2"/>
      <c r="G98" s="2"/>
      <c r="H98" s="33"/>
    </row>
    <row r="99" spans="1:8" x14ac:dyDescent="0.25">
      <c r="A99" s="38"/>
      <c r="B99" s="36"/>
      <c r="C99" s="2"/>
      <c r="D99" s="36"/>
      <c r="E99" s="2"/>
      <c r="F99" s="2"/>
      <c r="G99" s="2"/>
      <c r="H99" s="33"/>
    </row>
    <row r="100" spans="1:8" x14ac:dyDescent="0.25">
      <c r="A100" s="38"/>
      <c r="B100" s="36"/>
      <c r="C100" s="2"/>
      <c r="D100" s="36"/>
      <c r="E100" s="2"/>
      <c r="F100" s="2"/>
      <c r="G100" s="2"/>
      <c r="H100" s="33"/>
    </row>
    <row r="101" spans="1:8" x14ac:dyDescent="0.25">
      <c r="A101" s="38"/>
      <c r="B101" s="36"/>
      <c r="C101" s="2"/>
      <c r="D101" s="36"/>
      <c r="E101" s="2"/>
      <c r="F101" s="2"/>
      <c r="G101" s="2"/>
      <c r="H101" s="33"/>
    </row>
    <row r="102" spans="1:8" x14ac:dyDescent="0.25">
      <c r="A102" s="38"/>
      <c r="B102" s="36"/>
      <c r="C102" s="2"/>
      <c r="D102" s="36"/>
      <c r="E102" s="2"/>
      <c r="F102" s="2"/>
      <c r="G102" s="2"/>
      <c r="H102" s="33"/>
    </row>
    <row r="103" spans="1:8" x14ac:dyDescent="0.25">
      <c r="A103" s="38"/>
      <c r="B103" s="36"/>
      <c r="C103" s="2"/>
      <c r="D103" s="36"/>
      <c r="E103" s="2"/>
      <c r="F103" s="2"/>
      <c r="G103" s="2"/>
      <c r="H103" s="33"/>
    </row>
    <row r="104" spans="1:8" x14ac:dyDescent="0.25">
      <c r="A104" s="38"/>
      <c r="B104" s="36"/>
      <c r="C104" s="2"/>
      <c r="D104" s="36"/>
      <c r="E104" s="2"/>
      <c r="F104" s="2"/>
      <c r="G104" s="2"/>
      <c r="H104" s="33"/>
    </row>
    <row r="105" spans="1:8" x14ac:dyDescent="0.25">
      <c r="A105" s="38"/>
      <c r="B105" s="36"/>
      <c r="C105" s="2"/>
      <c r="D105" s="36"/>
      <c r="E105" s="2"/>
      <c r="F105" s="2"/>
      <c r="G105" s="2"/>
      <c r="H105" s="33"/>
    </row>
    <row r="106" spans="1:8" x14ac:dyDescent="0.25">
      <c r="A106" s="38"/>
      <c r="B106" s="36"/>
      <c r="C106" s="2"/>
      <c r="D106" s="36"/>
      <c r="E106" s="2"/>
      <c r="F106" s="2"/>
      <c r="G106" s="2"/>
      <c r="H106" s="33"/>
    </row>
    <row r="107" spans="1:8" x14ac:dyDescent="0.25">
      <c r="A107" s="38"/>
      <c r="B107" s="36"/>
      <c r="C107" s="2"/>
      <c r="D107" s="36"/>
      <c r="E107" s="2"/>
      <c r="F107" s="2"/>
      <c r="G107" s="2"/>
      <c r="H107" s="33"/>
    </row>
    <row r="108" spans="1:8" x14ac:dyDescent="0.25">
      <c r="A108" s="38"/>
      <c r="B108" s="36"/>
      <c r="C108" s="2"/>
      <c r="D108" s="36"/>
      <c r="E108" s="2"/>
      <c r="F108" s="2"/>
      <c r="G108" s="2"/>
      <c r="H108" s="33"/>
    </row>
    <row r="109" spans="1:8" x14ac:dyDescent="0.25">
      <c r="A109" s="38"/>
      <c r="B109" s="36"/>
      <c r="C109" s="2"/>
      <c r="D109" s="36"/>
      <c r="E109" s="2"/>
      <c r="F109" s="2"/>
      <c r="G109" s="2"/>
      <c r="H109" s="33"/>
    </row>
    <row r="110" spans="1:8" x14ac:dyDescent="0.25">
      <c r="A110" s="38"/>
      <c r="B110" s="36"/>
      <c r="C110" s="2"/>
      <c r="D110" s="36"/>
      <c r="E110" s="2"/>
      <c r="F110" s="2"/>
      <c r="G110" s="2"/>
      <c r="H110" s="33"/>
    </row>
    <row r="111" spans="1:8" x14ac:dyDescent="0.25">
      <c r="A111" s="38"/>
      <c r="B111" s="36"/>
      <c r="C111" s="2"/>
      <c r="D111" s="36"/>
      <c r="E111" s="2"/>
      <c r="F111" s="2"/>
      <c r="G111" s="2"/>
      <c r="H111" s="33"/>
    </row>
  </sheetData>
  <autoFilter ref="A3:H3" xr:uid="{00000000-0009-0000-0000-000002000000}">
    <filterColumn colId="0">
      <filters>
        <filter val="Data"/>
      </filters>
    </filterColumn>
  </autoFilter>
  <mergeCells count="2">
    <mergeCell ref="A2:J2"/>
    <mergeCell ref="A1:J1"/>
  </mergeCells>
  <conditionalFormatting sqref="I3">
    <cfRule type="cellIs" dxfId="33" priority="13" operator="equal">
      <formula>"COM DOCUMENTO"</formula>
    </cfRule>
    <cfRule type="cellIs" dxfId="32" priority="14" operator="equal">
      <formula>"SEM DOCUMENTO"</formula>
    </cfRule>
  </conditionalFormatting>
  <conditionalFormatting sqref="I3:I7 I10:I1048576">
    <cfRule type="cellIs" dxfId="31" priority="10" operator="equal">
      <formula>"COM DOCUMENTO"</formula>
    </cfRule>
    <cfRule type="cellIs" dxfId="30" priority="11" operator="equal">
      <formula>"COM DOCUMENTO"</formula>
    </cfRule>
    <cfRule type="cellIs" dxfId="29" priority="12" operator="equal">
      <formula>"SEM DOCUMENTO"</formula>
    </cfRule>
  </conditionalFormatting>
  <conditionalFormatting sqref="J3:J7 J10:J1048576">
    <cfRule type="cellIs" dxfId="28" priority="8" operator="equal">
      <formula>"RESOLVIDO"</formula>
    </cfRule>
    <cfRule type="cellIs" dxfId="27" priority="9" operator="equal">
      <formula>"PENDENTE"</formula>
    </cfRule>
  </conditionalFormatting>
  <conditionalFormatting sqref="I1:I7 I10:I1048576">
    <cfRule type="cellIs" dxfId="26" priority="7" operator="equal">
      <formula>"ERROR CRIAÇÃO"</formula>
    </cfRule>
  </conditionalFormatting>
  <conditionalFormatting sqref="I8:I9">
    <cfRule type="cellIs" dxfId="25" priority="4" operator="equal">
      <formula>"COM DOCUMENTO"</formula>
    </cfRule>
    <cfRule type="cellIs" dxfId="24" priority="5" operator="equal">
      <formula>"COM DOCUMENTO"</formula>
    </cfRule>
    <cfRule type="cellIs" dxfId="23" priority="6" operator="equal">
      <formula>"SEM DOCUMENTO"</formula>
    </cfRule>
  </conditionalFormatting>
  <conditionalFormatting sqref="J8:J9">
    <cfRule type="cellIs" dxfId="22" priority="2" operator="equal">
      <formula>"RESOLVIDO"</formula>
    </cfRule>
    <cfRule type="cellIs" dxfId="21" priority="3" operator="equal">
      <formula>"PENDENTE"</formula>
    </cfRule>
  </conditionalFormatting>
  <conditionalFormatting sqref="I8:I9">
    <cfRule type="cellIs" dxfId="20" priority="1" operator="equal">
      <formula>"ERROR CRIAÇÃO"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 filterMode="1">
    <tabColor theme="2" tint="-0.249977111117893"/>
  </sheetPr>
  <dimension ref="A1:K209"/>
  <sheetViews>
    <sheetView workbookViewId="0">
      <selection activeCell="A4" sqref="A4:J9"/>
    </sheetView>
  </sheetViews>
  <sheetFormatPr defaultRowHeight="15" x14ac:dyDescent="0.25"/>
  <cols>
    <col min="1" max="1" width="13.42578125" style="40" customWidth="1"/>
    <col min="2" max="2" width="15" style="37" customWidth="1"/>
    <col min="3" max="3" width="7.7109375" customWidth="1"/>
    <col min="4" max="4" width="12.42578125" style="37" bestFit="1" customWidth="1"/>
    <col min="5" max="5" width="25.28515625" bestFit="1" customWidth="1"/>
    <col min="6" max="6" width="23.42578125" customWidth="1"/>
    <col min="7" max="7" width="39.7109375" customWidth="1"/>
    <col min="8" max="8" width="12.140625" bestFit="1" customWidth="1"/>
    <col min="9" max="9" width="30.28515625" style="2" customWidth="1"/>
    <col min="10" max="10" width="15.7109375" style="34" customWidth="1"/>
    <col min="11" max="11" width="72.28515625" style="35" customWidth="1"/>
    <col min="12" max="12" width="15.85546875" customWidth="1"/>
    <col min="13" max="13" width="16.7109375" customWidth="1"/>
  </cols>
  <sheetData>
    <row r="1" spans="1:11" ht="26.25" x14ac:dyDescent="0.4">
      <c r="A1" s="145" t="s">
        <v>44</v>
      </c>
      <c r="B1" s="146"/>
      <c r="C1" s="146"/>
      <c r="D1" s="146"/>
      <c r="E1" s="146"/>
      <c r="F1" s="146"/>
      <c r="G1" s="146"/>
      <c r="H1" s="146"/>
      <c r="I1" s="146"/>
      <c r="J1" s="147"/>
    </row>
    <row r="2" spans="1:11" x14ac:dyDescent="0.25">
      <c r="A2" s="142"/>
      <c r="B2" s="143"/>
      <c r="C2" s="143"/>
      <c r="D2" s="143"/>
      <c r="E2" s="143"/>
      <c r="F2" s="143"/>
      <c r="G2" s="143"/>
      <c r="H2" s="143"/>
      <c r="I2" s="143"/>
      <c r="J2" s="144"/>
    </row>
    <row r="3" spans="1:11" x14ac:dyDescent="0.25">
      <c r="A3" s="38" t="s">
        <v>0</v>
      </c>
      <c r="B3" s="36" t="s">
        <v>1</v>
      </c>
      <c r="C3" s="2" t="s">
        <v>2</v>
      </c>
      <c r="D3" s="36" t="s">
        <v>26</v>
      </c>
      <c r="E3" s="2" t="s">
        <v>3</v>
      </c>
      <c r="F3" s="2" t="s">
        <v>4</v>
      </c>
      <c r="G3" s="2" t="s">
        <v>5</v>
      </c>
      <c r="H3" s="33" t="s">
        <v>6</v>
      </c>
      <c r="I3" s="34" t="s">
        <v>38</v>
      </c>
      <c r="J3" s="34" t="s">
        <v>39</v>
      </c>
      <c r="K3" s="35" t="s">
        <v>37</v>
      </c>
    </row>
    <row r="4" spans="1:11" x14ac:dyDescent="0.25">
      <c r="A4" s="38"/>
      <c r="B4" s="36"/>
      <c r="C4" s="2"/>
      <c r="D4" s="36"/>
      <c r="E4" s="2"/>
      <c r="F4" s="2"/>
      <c r="G4" s="2"/>
      <c r="H4" s="33"/>
    </row>
    <row r="5" spans="1:11" x14ac:dyDescent="0.25">
      <c r="A5" s="38"/>
      <c r="B5" s="36"/>
      <c r="C5" s="2"/>
      <c r="D5" s="36"/>
      <c r="E5" s="2"/>
      <c r="F5" s="2"/>
      <c r="G5" s="2"/>
      <c r="H5" s="33"/>
    </row>
    <row r="6" spans="1:11" x14ac:dyDescent="0.25">
      <c r="A6" s="38"/>
      <c r="B6" s="36"/>
      <c r="C6" s="2"/>
      <c r="D6" s="36"/>
      <c r="E6" s="2"/>
      <c r="F6" s="2"/>
      <c r="G6" s="2"/>
      <c r="H6" s="33"/>
    </row>
    <row r="7" spans="1:11" x14ac:dyDescent="0.25">
      <c r="A7" s="38"/>
      <c r="B7" s="36"/>
      <c r="C7" s="2"/>
      <c r="D7" s="36"/>
      <c r="E7" s="2"/>
      <c r="F7" s="2"/>
      <c r="G7" s="2"/>
      <c r="H7" s="33"/>
    </row>
    <row r="8" spans="1:11" x14ac:dyDescent="0.25">
      <c r="A8" s="38"/>
      <c r="B8" s="36"/>
      <c r="C8" s="2"/>
      <c r="D8" s="36"/>
      <c r="E8" s="2"/>
      <c r="F8" s="2"/>
      <c r="G8" s="2"/>
      <c r="H8" s="33"/>
    </row>
    <row r="9" spans="1:11" x14ac:dyDescent="0.25">
      <c r="A9" s="38"/>
      <c r="B9" s="36"/>
      <c r="C9" s="2"/>
      <c r="D9" s="36"/>
      <c r="E9" s="2"/>
      <c r="F9" s="2"/>
      <c r="G9" s="2"/>
      <c r="H9" s="33"/>
    </row>
    <row r="10" spans="1:11" x14ac:dyDescent="0.25">
      <c r="A10" s="38"/>
      <c r="B10" s="36"/>
      <c r="C10" s="2"/>
      <c r="D10" s="36"/>
      <c r="E10" s="2"/>
      <c r="F10" s="2"/>
      <c r="G10" s="2"/>
      <c r="H10" s="33"/>
    </row>
    <row r="11" spans="1:11" x14ac:dyDescent="0.25">
      <c r="A11" s="38"/>
      <c r="B11" s="36"/>
      <c r="C11" s="2"/>
      <c r="D11" s="36"/>
      <c r="E11" s="2"/>
      <c r="F11" s="2"/>
      <c r="G11" s="2"/>
      <c r="H11" s="33"/>
    </row>
    <row r="12" spans="1:11" x14ac:dyDescent="0.25">
      <c r="A12" s="38"/>
      <c r="B12" s="36"/>
      <c r="C12" s="2"/>
      <c r="D12" s="36"/>
      <c r="E12" s="2"/>
      <c r="F12" s="2"/>
      <c r="G12" s="2"/>
      <c r="H12" s="33"/>
    </row>
    <row r="13" spans="1:11" x14ac:dyDescent="0.25">
      <c r="A13" s="38"/>
      <c r="B13" s="36"/>
      <c r="C13" s="2"/>
      <c r="D13" s="36"/>
      <c r="E13" s="2"/>
      <c r="F13" s="2"/>
      <c r="G13" s="2"/>
      <c r="H13" s="33"/>
    </row>
    <row r="14" spans="1:11" x14ac:dyDescent="0.25">
      <c r="A14" s="38"/>
      <c r="B14" s="36"/>
      <c r="C14" s="2"/>
      <c r="D14" s="36"/>
      <c r="E14" s="2"/>
      <c r="F14" s="2"/>
      <c r="G14" s="2"/>
      <c r="H14" s="33"/>
    </row>
    <row r="15" spans="1:11" x14ac:dyDescent="0.25">
      <c r="A15" s="38"/>
      <c r="B15" s="36"/>
      <c r="C15" s="2"/>
      <c r="D15" s="36"/>
      <c r="E15" s="2"/>
      <c r="F15" s="2"/>
      <c r="G15" s="2"/>
      <c r="H15" s="33"/>
    </row>
    <row r="16" spans="1:11" x14ac:dyDescent="0.25">
      <c r="A16" s="38"/>
      <c r="B16" s="36"/>
      <c r="C16" s="2"/>
      <c r="D16" s="36"/>
      <c r="E16" s="2"/>
      <c r="F16" s="2"/>
      <c r="G16" s="2"/>
      <c r="H16" s="33"/>
    </row>
    <row r="17" spans="1:8" x14ac:dyDescent="0.25">
      <c r="A17" s="38"/>
      <c r="B17" s="36"/>
      <c r="C17" s="2"/>
      <c r="D17" s="36"/>
      <c r="E17" s="2"/>
      <c r="F17" s="2"/>
      <c r="G17" s="2"/>
      <c r="H17" s="33"/>
    </row>
    <row r="18" spans="1:8" x14ac:dyDescent="0.25">
      <c r="A18" s="38"/>
      <c r="B18" s="36"/>
      <c r="C18" s="2"/>
      <c r="D18" s="36"/>
      <c r="E18" s="2"/>
      <c r="F18" s="2"/>
      <c r="G18" s="2"/>
      <c r="H18" s="33"/>
    </row>
    <row r="19" spans="1:8" x14ac:dyDescent="0.25">
      <c r="A19" s="38"/>
      <c r="B19" s="36"/>
      <c r="C19" s="2"/>
      <c r="D19" s="36"/>
      <c r="E19" s="2"/>
      <c r="F19" s="2"/>
      <c r="G19" s="2"/>
      <c r="H19" s="33"/>
    </row>
    <row r="20" spans="1:8" x14ac:dyDescent="0.25">
      <c r="A20" s="38"/>
      <c r="B20" s="36"/>
      <c r="C20" s="2"/>
      <c r="D20" s="36"/>
      <c r="E20" s="2"/>
      <c r="F20" s="2"/>
      <c r="G20" s="2"/>
      <c r="H20" s="33"/>
    </row>
    <row r="21" spans="1:8" x14ac:dyDescent="0.25">
      <c r="A21" s="38"/>
      <c r="B21" s="36"/>
      <c r="C21" s="2"/>
      <c r="D21" s="36"/>
      <c r="E21" s="2"/>
      <c r="F21" s="2"/>
      <c r="G21" s="2"/>
      <c r="H21" s="33"/>
    </row>
    <row r="22" spans="1:8" x14ac:dyDescent="0.25">
      <c r="A22" s="38"/>
      <c r="B22" s="36"/>
      <c r="C22" s="2"/>
      <c r="D22" s="36"/>
      <c r="E22" s="2"/>
      <c r="F22" s="2"/>
      <c r="G22" s="2"/>
      <c r="H22" s="33"/>
    </row>
    <row r="23" spans="1:8" x14ac:dyDescent="0.25">
      <c r="A23" s="38"/>
      <c r="B23" s="36"/>
      <c r="C23" s="2"/>
      <c r="D23" s="36"/>
      <c r="E23" s="2"/>
      <c r="F23" s="2"/>
      <c r="G23" s="2"/>
      <c r="H23" s="33"/>
    </row>
    <row r="24" spans="1:8" x14ac:dyDescent="0.25">
      <c r="A24" s="38"/>
      <c r="B24" s="36"/>
      <c r="C24" s="2"/>
      <c r="D24" s="36"/>
      <c r="E24" s="2"/>
      <c r="F24" s="2"/>
      <c r="G24" s="2"/>
      <c r="H24" s="33"/>
    </row>
    <row r="25" spans="1:8" x14ac:dyDescent="0.25">
      <c r="A25" s="38"/>
      <c r="B25" s="36"/>
      <c r="C25" s="2"/>
      <c r="D25" s="36"/>
      <c r="E25" s="2"/>
      <c r="F25" s="2"/>
      <c r="G25" s="2"/>
      <c r="H25" s="33"/>
    </row>
    <row r="26" spans="1:8" x14ac:dyDescent="0.25">
      <c r="A26" s="38"/>
      <c r="B26" s="36"/>
      <c r="C26" s="2"/>
      <c r="D26" s="36"/>
      <c r="E26" s="2"/>
      <c r="F26" s="2"/>
      <c r="G26" s="2"/>
      <c r="H26" s="33"/>
    </row>
    <row r="27" spans="1:8" x14ac:dyDescent="0.25">
      <c r="A27" s="38"/>
      <c r="B27" s="36"/>
      <c r="C27" s="2"/>
      <c r="D27" s="36"/>
      <c r="E27" s="2"/>
      <c r="F27" s="2"/>
      <c r="G27" s="2"/>
      <c r="H27" s="33"/>
    </row>
    <row r="28" spans="1:8" x14ac:dyDescent="0.25">
      <c r="A28" s="38"/>
      <c r="B28" s="36"/>
      <c r="C28" s="2"/>
      <c r="D28" s="36"/>
      <c r="E28" s="2"/>
      <c r="F28" s="2"/>
      <c r="G28" s="2"/>
      <c r="H28" s="33"/>
    </row>
    <row r="29" spans="1:8" x14ac:dyDescent="0.25">
      <c r="A29" s="38"/>
      <c r="B29" s="36"/>
      <c r="C29" s="2"/>
      <c r="D29" s="36"/>
      <c r="E29" s="2"/>
      <c r="F29" s="2"/>
      <c r="G29" s="2"/>
      <c r="H29" s="33"/>
    </row>
    <row r="30" spans="1:8" x14ac:dyDescent="0.25">
      <c r="A30" s="38"/>
      <c r="B30" s="36"/>
      <c r="C30" s="2"/>
      <c r="D30" s="36"/>
      <c r="E30" s="2"/>
      <c r="F30" s="2"/>
      <c r="G30" s="2"/>
      <c r="H30" s="33"/>
    </row>
    <row r="31" spans="1:8" x14ac:dyDescent="0.25">
      <c r="A31" s="38"/>
      <c r="B31" s="36"/>
      <c r="C31" s="2"/>
      <c r="D31" s="36"/>
      <c r="E31" s="2"/>
      <c r="F31" s="2"/>
      <c r="G31" s="2"/>
      <c r="H31" s="33"/>
    </row>
    <row r="32" spans="1:8" x14ac:dyDescent="0.25">
      <c r="A32" s="38"/>
      <c r="B32" s="36"/>
      <c r="C32" s="2"/>
      <c r="D32" s="36"/>
      <c r="E32" s="2"/>
      <c r="F32" s="2"/>
      <c r="G32" s="2"/>
      <c r="H32" s="33"/>
    </row>
    <row r="33" spans="1:8" x14ac:dyDescent="0.25">
      <c r="A33" s="38"/>
      <c r="B33" s="36"/>
      <c r="C33" s="2"/>
      <c r="D33" s="36"/>
      <c r="E33" s="2"/>
      <c r="F33" s="2"/>
      <c r="G33" s="2"/>
      <c r="H33" s="33"/>
    </row>
    <row r="34" spans="1:8" x14ac:dyDescent="0.25">
      <c r="A34" s="38"/>
      <c r="B34" s="36"/>
      <c r="C34" s="2"/>
      <c r="D34" s="36"/>
      <c r="E34" s="2"/>
      <c r="F34" s="2"/>
      <c r="G34" s="2"/>
      <c r="H34" s="33"/>
    </row>
    <row r="35" spans="1:8" x14ac:dyDescent="0.25">
      <c r="A35" s="38"/>
      <c r="B35" s="36"/>
      <c r="C35" s="2"/>
      <c r="D35" s="36"/>
      <c r="E35" s="2"/>
      <c r="F35" s="2"/>
      <c r="G35" s="2"/>
      <c r="H35" s="33"/>
    </row>
    <row r="36" spans="1:8" x14ac:dyDescent="0.25">
      <c r="A36" s="38"/>
      <c r="B36" s="36"/>
      <c r="C36" s="2"/>
      <c r="D36" s="36"/>
      <c r="E36" s="2"/>
      <c r="F36" s="2"/>
      <c r="G36" s="2"/>
      <c r="H36" s="33"/>
    </row>
    <row r="37" spans="1:8" x14ac:dyDescent="0.25">
      <c r="A37" s="38"/>
      <c r="B37" s="36"/>
      <c r="C37" s="2"/>
      <c r="D37" s="36"/>
      <c r="E37" s="2"/>
      <c r="F37" s="2"/>
      <c r="G37" s="2"/>
      <c r="H37" s="33"/>
    </row>
    <row r="38" spans="1:8" x14ac:dyDescent="0.25">
      <c r="A38" s="38"/>
      <c r="B38" s="36"/>
      <c r="C38" s="2"/>
      <c r="D38" s="36"/>
      <c r="E38" s="2"/>
      <c r="F38" s="2"/>
      <c r="G38" s="2"/>
      <c r="H38" s="33"/>
    </row>
    <row r="39" spans="1:8" x14ac:dyDescent="0.25">
      <c r="A39" s="38"/>
      <c r="B39" s="36"/>
      <c r="C39" s="2"/>
      <c r="D39" s="36"/>
      <c r="E39" s="2"/>
      <c r="F39" s="2"/>
      <c r="G39" s="2"/>
      <c r="H39" s="33"/>
    </row>
    <row r="40" spans="1:8" x14ac:dyDescent="0.25">
      <c r="A40" s="38"/>
      <c r="B40" s="36"/>
      <c r="C40" s="2"/>
      <c r="D40" s="36"/>
      <c r="E40" s="2"/>
      <c r="F40" s="2"/>
      <c r="G40" s="2"/>
      <c r="H40" s="33"/>
    </row>
    <row r="41" spans="1:8" x14ac:dyDescent="0.25">
      <c r="A41" s="38"/>
      <c r="B41" s="36"/>
      <c r="C41" s="2"/>
      <c r="D41" s="36"/>
      <c r="E41" s="2"/>
      <c r="F41" s="2"/>
      <c r="G41" s="2"/>
      <c r="H41" s="33"/>
    </row>
    <row r="42" spans="1:8" x14ac:dyDescent="0.25">
      <c r="A42" s="38"/>
      <c r="B42" s="36"/>
      <c r="C42" s="2"/>
      <c r="D42" s="36"/>
      <c r="E42" s="2"/>
      <c r="F42" s="2"/>
      <c r="G42" s="2"/>
      <c r="H42" s="33"/>
    </row>
    <row r="43" spans="1:8" x14ac:dyDescent="0.25">
      <c r="A43" s="38"/>
      <c r="B43" s="36"/>
      <c r="C43" s="2"/>
      <c r="D43" s="36"/>
      <c r="E43" s="2"/>
      <c r="F43" s="2"/>
      <c r="G43" s="2"/>
      <c r="H43" s="33"/>
    </row>
    <row r="44" spans="1:8" x14ac:dyDescent="0.25">
      <c r="A44" s="38"/>
      <c r="B44" s="36"/>
      <c r="C44" s="2"/>
      <c r="D44" s="36"/>
      <c r="E44" s="2"/>
      <c r="F44" s="2"/>
      <c r="G44" s="2"/>
      <c r="H44" s="33"/>
    </row>
    <row r="45" spans="1:8" x14ac:dyDescent="0.25">
      <c r="A45" s="38"/>
      <c r="B45" s="36"/>
      <c r="C45" s="2"/>
      <c r="D45" s="36"/>
      <c r="E45" s="2"/>
      <c r="F45" s="2"/>
      <c r="G45" s="2"/>
      <c r="H45" s="33"/>
    </row>
    <row r="46" spans="1:8" x14ac:dyDescent="0.25">
      <c r="A46" s="38"/>
      <c r="B46" s="36"/>
      <c r="C46" s="2"/>
      <c r="D46" s="36"/>
      <c r="E46" s="2"/>
      <c r="F46" s="2"/>
      <c r="G46" s="2"/>
      <c r="H46" s="33"/>
    </row>
    <row r="47" spans="1:8" x14ac:dyDescent="0.25">
      <c r="A47" s="38"/>
      <c r="B47" s="36"/>
      <c r="C47" s="2"/>
      <c r="D47" s="36"/>
      <c r="E47" s="2"/>
      <c r="F47" s="2"/>
      <c r="G47" s="2"/>
      <c r="H47" s="33"/>
    </row>
    <row r="48" spans="1:8" x14ac:dyDescent="0.25">
      <c r="A48" s="38"/>
      <c r="B48" s="36"/>
      <c r="C48" s="2"/>
      <c r="D48" s="36"/>
      <c r="E48" s="2"/>
      <c r="F48" s="2"/>
      <c r="G48" s="2"/>
      <c r="H48" s="33"/>
    </row>
    <row r="49" spans="1:8" x14ac:dyDescent="0.25">
      <c r="A49" s="38"/>
      <c r="B49" s="36"/>
      <c r="C49" s="2"/>
      <c r="D49" s="36"/>
      <c r="E49" s="2"/>
      <c r="F49" s="2"/>
      <c r="G49" s="2"/>
      <c r="H49" s="33"/>
    </row>
    <row r="50" spans="1:8" x14ac:dyDescent="0.25">
      <c r="A50" s="38"/>
      <c r="B50" s="36"/>
      <c r="C50" s="2"/>
      <c r="D50" s="36"/>
      <c r="E50" s="2"/>
      <c r="F50" s="2"/>
      <c r="G50" s="2"/>
      <c r="H50" s="33"/>
    </row>
    <row r="51" spans="1:8" x14ac:dyDescent="0.25">
      <c r="A51" s="38"/>
      <c r="B51" s="36"/>
      <c r="C51" s="2"/>
      <c r="D51" s="36"/>
      <c r="E51" s="2"/>
      <c r="F51" s="2"/>
      <c r="G51" s="2"/>
      <c r="H51" s="33"/>
    </row>
    <row r="52" spans="1:8" x14ac:dyDescent="0.25">
      <c r="A52" s="38"/>
      <c r="B52" s="36"/>
      <c r="C52" s="2"/>
      <c r="D52" s="36"/>
      <c r="E52" s="2"/>
      <c r="F52" s="2"/>
      <c r="G52" s="2"/>
      <c r="H52" s="33"/>
    </row>
    <row r="53" spans="1:8" x14ac:dyDescent="0.25">
      <c r="A53" s="38"/>
      <c r="B53" s="36"/>
      <c r="C53" s="2"/>
      <c r="D53" s="36"/>
      <c r="E53" s="2"/>
      <c r="F53" s="2"/>
      <c r="G53" s="2"/>
      <c r="H53" s="33"/>
    </row>
    <row r="54" spans="1:8" x14ac:dyDescent="0.25">
      <c r="A54" s="38"/>
      <c r="B54" s="36"/>
      <c r="C54" s="2"/>
      <c r="D54" s="36"/>
      <c r="E54" s="2"/>
      <c r="F54" s="2"/>
      <c r="G54" s="2"/>
      <c r="H54" s="33"/>
    </row>
    <row r="55" spans="1:8" x14ac:dyDescent="0.25">
      <c r="A55" s="38"/>
      <c r="B55" s="36"/>
      <c r="C55" s="2"/>
      <c r="D55" s="36"/>
      <c r="E55" s="2"/>
      <c r="F55" s="2"/>
      <c r="G55" s="2"/>
      <c r="H55" s="33"/>
    </row>
    <row r="56" spans="1:8" x14ac:dyDescent="0.25">
      <c r="A56" s="38"/>
      <c r="B56" s="36"/>
      <c r="C56" s="2"/>
      <c r="D56" s="36"/>
      <c r="E56" s="2"/>
      <c r="F56" s="2"/>
      <c r="G56" s="2"/>
      <c r="H56" s="33"/>
    </row>
    <row r="57" spans="1:8" x14ac:dyDescent="0.25">
      <c r="A57" s="38"/>
      <c r="B57" s="36"/>
      <c r="C57" s="2"/>
      <c r="D57" s="36"/>
      <c r="E57" s="2"/>
      <c r="F57" s="2"/>
      <c r="G57" s="2"/>
      <c r="H57" s="33"/>
    </row>
    <row r="58" spans="1:8" x14ac:dyDescent="0.25">
      <c r="A58" s="38"/>
      <c r="B58" s="36"/>
      <c r="C58" s="2"/>
      <c r="D58" s="36"/>
      <c r="E58" s="2"/>
      <c r="F58" s="2"/>
      <c r="G58" s="2"/>
      <c r="H58" s="33"/>
    </row>
    <row r="59" spans="1:8" x14ac:dyDescent="0.25">
      <c r="A59" s="38"/>
      <c r="B59" s="36"/>
      <c r="C59" s="2"/>
      <c r="D59" s="36"/>
      <c r="E59" s="2"/>
      <c r="F59" s="2"/>
      <c r="G59" s="2"/>
      <c r="H59" s="33"/>
    </row>
    <row r="60" spans="1:8" x14ac:dyDescent="0.25">
      <c r="A60" s="38"/>
      <c r="B60" s="36"/>
      <c r="C60" s="2"/>
      <c r="D60" s="36"/>
      <c r="E60" s="2"/>
      <c r="F60" s="2"/>
      <c r="G60" s="2"/>
      <c r="H60" s="33"/>
    </row>
    <row r="61" spans="1:8" x14ac:dyDescent="0.25">
      <c r="A61" s="38"/>
      <c r="B61" s="36"/>
      <c r="C61" s="2"/>
      <c r="D61" s="36"/>
      <c r="E61" s="2"/>
      <c r="F61" s="2"/>
      <c r="G61" s="2"/>
      <c r="H61" s="33"/>
    </row>
    <row r="62" spans="1:8" x14ac:dyDescent="0.25">
      <c r="A62" s="38"/>
      <c r="B62" s="36"/>
      <c r="C62" s="2"/>
      <c r="D62" s="36"/>
      <c r="E62" s="2"/>
      <c r="F62" s="2"/>
      <c r="G62" s="2"/>
      <c r="H62" s="33"/>
    </row>
    <row r="63" spans="1:8" x14ac:dyDescent="0.25">
      <c r="A63" s="38"/>
      <c r="B63" s="36"/>
      <c r="C63" s="2"/>
      <c r="D63" s="36"/>
      <c r="E63" s="2"/>
      <c r="F63" s="2"/>
      <c r="G63" s="2"/>
      <c r="H63" s="33"/>
    </row>
    <row r="64" spans="1:8" x14ac:dyDescent="0.25">
      <c r="A64" s="38"/>
      <c r="B64" s="36"/>
      <c r="C64" s="2"/>
      <c r="D64" s="36"/>
      <c r="E64" s="2"/>
      <c r="F64" s="2"/>
      <c r="G64" s="2"/>
      <c r="H64" s="33"/>
    </row>
    <row r="65" spans="1:8" x14ac:dyDescent="0.25">
      <c r="A65" s="38"/>
      <c r="B65" s="36"/>
      <c r="C65" s="2"/>
      <c r="D65" s="36"/>
      <c r="E65" s="2"/>
      <c r="F65" s="2"/>
      <c r="G65" s="2"/>
      <c r="H65" s="33"/>
    </row>
    <row r="66" spans="1:8" x14ac:dyDescent="0.25">
      <c r="A66" s="38"/>
      <c r="B66" s="36"/>
      <c r="C66" s="2"/>
      <c r="D66" s="36"/>
      <c r="E66" s="2"/>
      <c r="F66" s="2"/>
      <c r="G66" s="2"/>
      <c r="H66" s="33"/>
    </row>
    <row r="67" spans="1:8" x14ac:dyDescent="0.25">
      <c r="A67" s="38"/>
      <c r="B67" s="36"/>
      <c r="C67" s="2"/>
      <c r="D67" s="36"/>
      <c r="E67" s="2"/>
      <c r="F67" s="2"/>
      <c r="G67" s="2"/>
      <c r="H67" s="33"/>
    </row>
    <row r="68" spans="1:8" x14ac:dyDescent="0.25">
      <c r="A68" s="38"/>
      <c r="B68" s="36"/>
      <c r="C68" s="2"/>
      <c r="D68" s="36"/>
      <c r="E68" s="2"/>
      <c r="F68" s="2"/>
      <c r="G68" s="2"/>
      <c r="H68" s="33"/>
    </row>
    <row r="69" spans="1:8" x14ac:dyDescent="0.25">
      <c r="A69" s="38"/>
      <c r="B69" s="36"/>
      <c r="C69" s="2"/>
      <c r="D69" s="36"/>
      <c r="E69" s="2"/>
      <c r="F69" s="2"/>
      <c r="G69" s="2"/>
      <c r="H69" s="33"/>
    </row>
    <row r="70" spans="1:8" x14ac:dyDescent="0.25">
      <c r="A70" s="38"/>
      <c r="B70" s="36"/>
      <c r="C70" s="2"/>
      <c r="D70" s="36"/>
      <c r="E70" s="2"/>
      <c r="F70" s="2"/>
      <c r="G70" s="2"/>
      <c r="H70" s="33"/>
    </row>
    <row r="71" spans="1:8" x14ac:dyDescent="0.25">
      <c r="A71" s="38"/>
      <c r="B71" s="36"/>
      <c r="C71" s="2"/>
      <c r="D71" s="36"/>
      <c r="E71" s="2"/>
      <c r="F71" s="2"/>
      <c r="G71" s="2"/>
      <c r="H71" s="33"/>
    </row>
    <row r="72" spans="1:8" x14ac:dyDescent="0.25">
      <c r="A72" s="38"/>
      <c r="B72" s="36"/>
      <c r="C72" s="2"/>
      <c r="D72" s="36"/>
      <c r="E72" s="2"/>
      <c r="F72" s="2"/>
      <c r="G72" s="2"/>
      <c r="H72" s="33"/>
    </row>
    <row r="73" spans="1:8" x14ac:dyDescent="0.25">
      <c r="A73" s="38"/>
      <c r="B73" s="36"/>
      <c r="C73" s="2"/>
      <c r="D73" s="36"/>
      <c r="E73" s="2"/>
      <c r="F73" s="2"/>
      <c r="G73" s="2"/>
      <c r="H73" s="33"/>
    </row>
    <row r="74" spans="1:8" x14ac:dyDescent="0.25">
      <c r="A74" s="38"/>
      <c r="B74" s="36"/>
      <c r="C74" s="2"/>
      <c r="D74" s="36"/>
      <c r="E74" s="2"/>
      <c r="F74" s="2"/>
      <c r="G74" s="2"/>
      <c r="H74" s="33"/>
    </row>
    <row r="75" spans="1:8" x14ac:dyDescent="0.25">
      <c r="A75" s="38"/>
      <c r="B75" s="36"/>
      <c r="C75" s="2"/>
      <c r="D75" s="36"/>
      <c r="E75" s="2"/>
      <c r="F75" s="2"/>
      <c r="G75" s="2"/>
      <c r="H75" s="33"/>
    </row>
    <row r="76" spans="1:8" x14ac:dyDescent="0.25">
      <c r="A76" s="38"/>
      <c r="B76" s="36"/>
      <c r="C76" s="2"/>
      <c r="D76" s="36"/>
      <c r="E76" s="2"/>
      <c r="F76" s="2"/>
      <c r="G76" s="2"/>
      <c r="H76" s="33"/>
    </row>
    <row r="77" spans="1:8" x14ac:dyDescent="0.25">
      <c r="A77" s="38"/>
      <c r="B77" s="36"/>
      <c r="C77" s="2"/>
      <c r="D77" s="36"/>
      <c r="E77" s="2"/>
      <c r="F77" s="2"/>
      <c r="G77" s="2"/>
      <c r="H77" s="33"/>
    </row>
    <row r="78" spans="1:8" x14ac:dyDescent="0.25">
      <c r="A78" s="38"/>
      <c r="B78" s="36"/>
      <c r="C78" s="2"/>
      <c r="D78" s="36"/>
      <c r="E78" s="2"/>
      <c r="F78" s="2"/>
      <c r="G78" s="2"/>
      <c r="H78" s="33"/>
    </row>
    <row r="79" spans="1:8" x14ac:dyDescent="0.25">
      <c r="A79" s="38"/>
      <c r="B79" s="36"/>
      <c r="C79" s="2"/>
      <c r="D79" s="36"/>
      <c r="E79" s="2"/>
      <c r="F79" s="2"/>
      <c r="G79" s="2"/>
      <c r="H79" s="33"/>
    </row>
    <row r="80" spans="1:8" x14ac:dyDescent="0.25">
      <c r="A80" s="38"/>
      <c r="B80" s="36"/>
      <c r="C80" s="2"/>
      <c r="D80" s="36"/>
      <c r="E80" s="2"/>
      <c r="F80" s="2"/>
      <c r="G80" s="2"/>
      <c r="H80" s="33"/>
    </row>
    <row r="81" spans="1:8" x14ac:dyDescent="0.25">
      <c r="A81" s="38"/>
      <c r="B81" s="36"/>
      <c r="C81" s="2"/>
      <c r="D81" s="36"/>
      <c r="E81" s="2"/>
      <c r="F81" s="2"/>
      <c r="G81" s="2"/>
      <c r="H81" s="33"/>
    </row>
    <row r="82" spans="1:8" x14ac:dyDescent="0.25">
      <c r="A82" s="38"/>
      <c r="B82" s="36"/>
      <c r="C82" s="2"/>
      <c r="D82" s="36"/>
      <c r="E82" s="2"/>
      <c r="F82" s="2"/>
      <c r="G82" s="2"/>
      <c r="H82" s="33"/>
    </row>
    <row r="83" spans="1:8" x14ac:dyDescent="0.25">
      <c r="A83" s="38"/>
      <c r="B83" s="36"/>
      <c r="C83" s="2"/>
      <c r="D83" s="36"/>
      <c r="E83" s="2"/>
      <c r="F83" s="2"/>
      <c r="G83" s="2"/>
      <c r="H83" s="33"/>
    </row>
    <row r="84" spans="1:8" x14ac:dyDescent="0.25">
      <c r="A84" s="38"/>
      <c r="B84" s="36"/>
      <c r="C84" s="2"/>
      <c r="D84" s="36"/>
      <c r="E84" s="2"/>
      <c r="F84" s="2"/>
      <c r="G84" s="2"/>
      <c r="H84" s="33"/>
    </row>
    <row r="85" spans="1:8" x14ac:dyDescent="0.25">
      <c r="A85" s="38"/>
      <c r="B85" s="36"/>
      <c r="C85" s="2"/>
      <c r="D85" s="36"/>
      <c r="E85" s="2"/>
      <c r="F85" s="2"/>
      <c r="G85" s="2"/>
      <c r="H85" s="33"/>
    </row>
    <row r="86" spans="1:8" x14ac:dyDescent="0.25">
      <c r="A86" s="38"/>
      <c r="B86" s="36"/>
      <c r="C86" s="2"/>
      <c r="D86" s="36"/>
      <c r="E86" s="2"/>
      <c r="F86" s="2"/>
      <c r="G86" s="2"/>
      <c r="H86" s="33"/>
    </row>
    <row r="87" spans="1:8" x14ac:dyDescent="0.25">
      <c r="A87" s="38"/>
      <c r="B87" s="36"/>
      <c r="C87" s="2"/>
      <c r="D87" s="36"/>
      <c r="E87" s="2"/>
      <c r="F87" s="2"/>
      <c r="G87" s="2"/>
      <c r="H87" s="33"/>
    </row>
    <row r="88" spans="1:8" x14ac:dyDescent="0.25">
      <c r="A88" s="38"/>
      <c r="B88" s="36"/>
      <c r="C88" s="2"/>
      <c r="D88" s="36"/>
      <c r="E88" s="2"/>
      <c r="F88" s="2"/>
      <c r="G88" s="2"/>
      <c r="H88" s="33"/>
    </row>
    <row r="89" spans="1:8" x14ac:dyDescent="0.25">
      <c r="A89" s="38"/>
      <c r="B89" s="36"/>
      <c r="C89" s="2"/>
      <c r="D89" s="36"/>
      <c r="E89" s="2"/>
      <c r="F89" s="2"/>
      <c r="G89" s="2"/>
      <c r="H89" s="33"/>
    </row>
    <row r="90" spans="1:8" x14ac:dyDescent="0.25">
      <c r="A90" s="38"/>
      <c r="B90" s="36"/>
      <c r="C90" s="2"/>
      <c r="D90" s="36"/>
      <c r="E90" s="2"/>
      <c r="F90" s="2"/>
      <c r="G90" s="2"/>
      <c r="H90" s="33"/>
    </row>
    <row r="91" spans="1:8" x14ac:dyDescent="0.25">
      <c r="A91" s="38"/>
      <c r="B91" s="36"/>
      <c r="C91" s="2"/>
      <c r="D91" s="36"/>
      <c r="E91" s="2"/>
      <c r="F91" s="2"/>
      <c r="G91" s="2"/>
      <c r="H91" s="33"/>
    </row>
    <row r="92" spans="1:8" x14ac:dyDescent="0.25">
      <c r="A92" s="38"/>
      <c r="B92" s="36"/>
      <c r="C92" s="2"/>
      <c r="D92" s="36"/>
      <c r="E92" s="2"/>
      <c r="F92" s="2"/>
      <c r="G92" s="2"/>
      <c r="H92" s="33"/>
    </row>
    <row r="93" spans="1:8" x14ac:dyDescent="0.25">
      <c r="A93" s="38"/>
      <c r="B93" s="36"/>
      <c r="C93" s="2"/>
      <c r="D93" s="36"/>
      <c r="E93" s="2"/>
      <c r="F93" s="2"/>
      <c r="G93" s="2"/>
      <c r="H93" s="33"/>
    </row>
    <row r="94" spans="1:8" x14ac:dyDescent="0.25">
      <c r="A94" s="38"/>
      <c r="B94" s="36"/>
      <c r="C94" s="2"/>
      <c r="D94" s="36"/>
      <c r="E94" s="2"/>
      <c r="F94" s="2"/>
      <c r="G94" s="2"/>
      <c r="H94" s="33"/>
    </row>
    <row r="95" spans="1:8" x14ac:dyDescent="0.25">
      <c r="A95" s="38"/>
      <c r="B95" s="36"/>
      <c r="C95" s="2"/>
      <c r="D95" s="36"/>
      <c r="E95" s="2"/>
      <c r="F95" s="2"/>
      <c r="G95" s="2"/>
      <c r="H95" s="33"/>
    </row>
    <row r="96" spans="1:8" x14ac:dyDescent="0.25">
      <c r="A96" s="38"/>
      <c r="B96" s="36"/>
      <c r="C96" s="2"/>
      <c r="D96" s="36"/>
      <c r="E96" s="2"/>
      <c r="F96" s="2"/>
      <c r="G96" s="2"/>
      <c r="H96" s="33"/>
    </row>
    <row r="97" spans="1:8" x14ac:dyDescent="0.25">
      <c r="A97" s="38"/>
      <c r="B97" s="36"/>
      <c r="C97" s="2"/>
      <c r="D97" s="36"/>
      <c r="E97" s="2"/>
      <c r="F97" s="2"/>
      <c r="G97" s="2"/>
      <c r="H97" s="33"/>
    </row>
    <row r="98" spans="1:8" x14ac:dyDescent="0.25">
      <c r="A98" s="38"/>
      <c r="B98" s="36"/>
      <c r="C98" s="2"/>
      <c r="D98" s="36"/>
      <c r="E98" s="2"/>
      <c r="F98" s="2"/>
      <c r="G98" s="2"/>
      <c r="H98" s="33"/>
    </row>
    <row r="99" spans="1:8" x14ac:dyDescent="0.25">
      <c r="A99" s="38"/>
      <c r="B99" s="36"/>
      <c r="C99" s="2"/>
      <c r="D99" s="36"/>
      <c r="E99" s="2"/>
      <c r="F99" s="2"/>
      <c r="G99" s="2"/>
      <c r="H99" s="33"/>
    </row>
    <row r="100" spans="1:8" x14ac:dyDescent="0.25">
      <c r="A100" s="38"/>
      <c r="B100" s="36"/>
      <c r="C100" s="2"/>
      <c r="D100" s="36"/>
      <c r="E100" s="2"/>
      <c r="F100" s="2"/>
      <c r="G100" s="2"/>
      <c r="H100" s="33"/>
    </row>
    <row r="101" spans="1:8" x14ac:dyDescent="0.25">
      <c r="A101" s="38"/>
      <c r="B101" s="36"/>
      <c r="C101" s="2"/>
      <c r="D101" s="36"/>
      <c r="E101" s="2"/>
      <c r="F101" s="2"/>
      <c r="G101" s="2"/>
      <c r="H101" s="33"/>
    </row>
    <row r="102" spans="1:8" x14ac:dyDescent="0.25">
      <c r="A102" s="38"/>
      <c r="B102" s="36"/>
      <c r="C102" s="2"/>
      <c r="D102" s="36"/>
      <c r="E102" s="2"/>
      <c r="F102" s="2"/>
      <c r="G102" s="2"/>
      <c r="H102" s="33"/>
    </row>
    <row r="103" spans="1:8" x14ac:dyDescent="0.25">
      <c r="A103" s="38"/>
      <c r="B103" s="36"/>
      <c r="C103" s="2"/>
      <c r="D103" s="36"/>
      <c r="E103" s="2"/>
      <c r="F103" s="2"/>
      <c r="G103" s="2"/>
      <c r="H103" s="33"/>
    </row>
    <row r="104" spans="1:8" x14ac:dyDescent="0.25">
      <c r="A104" s="39"/>
    </row>
    <row r="105" spans="1:8" x14ac:dyDescent="0.25">
      <c r="A105" s="39"/>
    </row>
    <row r="106" spans="1:8" x14ac:dyDescent="0.25">
      <c r="A106" s="39"/>
    </row>
    <row r="107" spans="1:8" x14ac:dyDescent="0.25">
      <c r="A107" s="39"/>
    </row>
    <row r="108" spans="1:8" x14ac:dyDescent="0.25">
      <c r="A108" s="39"/>
    </row>
    <row r="109" spans="1:8" x14ac:dyDescent="0.25">
      <c r="A109" s="39"/>
    </row>
    <row r="110" spans="1:8" x14ac:dyDescent="0.25">
      <c r="A110" s="39"/>
    </row>
    <row r="111" spans="1:8" x14ac:dyDescent="0.25">
      <c r="A111" s="39"/>
    </row>
    <row r="112" spans="1:8" x14ac:dyDescent="0.25">
      <c r="A112" s="39"/>
    </row>
    <row r="113" spans="1:1" x14ac:dyDescent="0.25">
      <c r="A113" s="39"/>
    </row>
    <row r="114" spans="1:1" x14ac:dyDescent="0.25">
      <c r="A114" s="39"/>
    </row>
    <row r="115" spans="1:1" x14ac:dyDescent="0.25">
      <c r="A115" s="39"/>
    </row>
    <row r="116" spans="1:1" x14ac:dyDescent="0.25">
      <c r="A116" s="39"/>
    </row>
    <row r="117" spans="1:1" x14ac:dyDescent="0.25">
      <c r="A117" s="39"/>
    </row>
    <row r="118" spans="1:1" x14ac:dyDescent="0.25">
      <c r="A118" s="39"/>
    </row>
    <row r="119" spans="1:1" x14ac:dyDescent="0.25">
      <c r="A119" s="39"/>
    </row>
    <row r="120" spans="1:1" x14ac:dyDescent="0.25">
      <c r="A120" s="39"/>
    </row>
    <row r="121" spans="1:1" x14ac:dyDescent="0.25">
      <c r="A121" s="39"/>
    </row>
    <row r="122" spans="1:1" x14ac:dyDescent="0.25">
      <c r="A122" s="39"/>
    </row>
    <row r="123" spans="1:1" x14ac:dyDescent="0.25">
      <c r="A123" s="39"/>
    </row>
    <row r="124" spans="1:1" x14ac:dyDescent="0.25">
      <c r="A124" s="39"/>
    </row>
    <row r="125" spans="1:1" x14ac:dyDescent="0.25">
      <c r="A125" s="39"/>
    </row>
    <row r="126" spans="1:1" x14ac:dyDescent="0.25">
      <c r="A126" s="39"/>
    </row>
    <row r="127" spans="1:1" x14ac:dyDescent="0.25">
      <c r="A127" s="39"/>
    </row>
    <row r="128" spans="1:1" x14ac:dyDescent="0.25">
      <c r="A128" s="39"/>
    </row>
    <row r="129" spans="1:1" x14ac:dyDescent="0.25">
      <c r="A129" s="39"/>
    </row>
    <row r="130" spans="1:1" x14ac:dyDescent="0.25">
      <c r="A130" s="39"/>
    </row>
    <row r="131" spans="1:1" x14ac:dyDescent="0.25">
      <c r="A131" s="39"/>
    </row>
    <row r="132" spans="1:1" x14ac:dyDescent="0.25">
      <c r="A132" s="39"/>
    </row>
    <row r="133" spans="1:1" x14ac:dyDescent="0.25">
      <c r="A133" s="39"/>
    </row>
    <row r="134" spans="1:1" x14ac:dyDescent="0.25">
      <c r="A134" s="39"/>
    </row>
    <row r="135" spans="1:1" x14ac:dyDescent="0.25">
      <c r="A135" s="39"/>
    </row>
    <row r="136" spans="1:1" x14ac:dyDescent="0.25">
      <c r="A136" s="39"/>
    </row>
    <row r="137" spans="1:1" x14ac:dyDescent="0.25">
      <c r="A137" s="39"/>
    </row>
    <row r="138" spans="1:1" x14ac:dyDescent="0.25">
      <c r="A138" s="39"/>
    </row>
    <row r="139" spans="1:1" x14ac:dyDescent="0.25">
      <c r="A139" s="39"/>
    </row>
    <row r="140" spans="1:1" x14ac:dyDescent="0.25">
      <c r="A140" s="39"/>
    </row>
    <row r="141" spans="1:1" x14ac:dyDescent="0.25">
      <c r="A141" s="39"/>
    </row>
    <row r="142" spans="1:1" x14ac:dyDescent="0.25">
      <c r="A142" s="39"/>
    </row>
    <row r="143" spans="1:1" x14ac:dyDescent="0.25">
      <c r="A143" s="39"/>
    </row>
    <row r="144" spans="1:1" x14ac:dyDescent="0.25">
      <c r="A144" s="39"/>
    </row>
    <row r="145" spans="1:1" x14ac:dyDescent="0.25">
      <c r="A145" s="39"/>
    </row>
    <row r="146" spans="1:1" x14ac:dyDescent="0.25">
      <c r="A146" s="39"/>
    </row>
    <row r="147" spans="1:1" x14ac:dyDescent="0.25">
      <c r="A147" s="39"/>
    </row>
    <row r="148" spans="1:1" x14ac:dyDescent="0.25">
      <c r="A148" s="39"/>
    </row>
    <row r="149" spans="1:1" x14ac:dyDescent="0.25">
      <c r="A149" s="39"/>
    </row>
    <row r="150" spans="1:1" x14ac:dyDescent="0.25">
      <c r="A150" s="39"/>
    </row>
    <row r="151" spans="1:1" x14ac:dyDescent="0.25">
      <c r="A151" s="39"/>
    </row>
    <row r="152" spans="1:1" x14ac:dyDescent="0.25">
      <c r="A152" s="39"/>
    </row>
    <row r="153" spans="1:1" x14ac:dyDescent="0.25">
      <c r="A153" s="39"/>
    </row>
    <row r="154" spans="1:1" x14ac:dyDescent="0.25">
      <c r="A154" s="39"/>
    </row>
    <row r="155" spans="1:1" x14ac:dyDescent="0.25">
      <c r="A155" s="39"/>
    </row>
    <row r="156" spans="1:1" x14ac:dyDescent="0.25">
      <c r="A156" s="39"/>
    </row>
    <row r="157" spans="1:1" x14ac:dyDescent="0.25">
      <c r="A157" s="39"/>
    </row>
    <row r="158" spans="1:1" x14ac:dyDescent="0.25">
      <c r="A158" s="39"/>
    </row>
    <row r="159" spans="1:1" x14ac:dyDescent="0.25">
      <c r="A159" s="39"/>
    </row>
    <row r="160" spans="1:1" x14ac:dyDescent="0.25">
      <c r="A160" s="39"/>
    </row>
    <row r="161" spans="1:1" x14ac:dyDescent="0.25">
      <c r="A161" s="39"/>
    </row>
    <row r="162" spans="1:1" x14ac:dyDescent="0.25">
      <c r="A162" s="39"/>
    </row>
    <row r="163" spans="1:1" x14ac:dyDescent="0.25">
      <c r="A163" s="39"/>
    </row>
    <row r="164" spans="1:1" x14ac:dyDescent="0.25">
      <c r="A164" s="39"/>
    </row>
    <row r="165" spans="1:1" x14ac:dyDescent="0.25">
      <c r="A165" s="39"/>
    </row>
    <row r="166" spans="1:1" x14ac:dyDescent="0.25">
      <c r="A166" s="39"/>
    </row>
    <row r="167" spans="1:1" x14ac:dyDescent="0.25">
      <c r="A167" s="39"/>
    </row>
    <row r="168" spans="1:1" x14ac:dyDescent="0.25">
      <c r="A168" s="39"/>
    </row>
    <row r="169" spans="1:1" x14ac:dyDescent="0.25">
      <c r="A169" s="39"/>
    </row>
    <row r="170" spans="1:1" x14ac:dyDescent="0.25">
      <c r="A170" s="39"/>
    </row>
    <row r="171" spans="1:1" x14ac:dyDescent="0.25">
      <c r="A171" s="39"/>
    </row>
    <row r="172" spans="1:1" x14ac:dyDescent="0.25">
      <c r="A172" s="39"/>
    </row>
    <row r="173" spans="1:1" x14ac:dyDescent="0.25">
      <c r="A173" s="39"/>
    </row>
    <row r="174" spans="1:1" x14ac:dyDescent="0.25">
      <c r="A174" s="39"/>
    </row>
    <row r="175" spans="1:1" x14ac:dyDescent="0.25">
      <c r="A175" s="39"/>
    </row>
    <row r="176" spans="1:1" x14ac:dyDescent="0.25">
      <c r="A176" s="39"/>
    </row>
    <row r="177" spans="1:1" x14ac:dyDescent="0.25">
      <c r="A177" s="39"/>
    </row>
    <row r="178" spans="1:1" x14ac:dyDescent="0.25">
      <c r="A178" s="39"/>
    </row>
    <row r="179" spans="1:1" x14ac:dyDescent="0.25">
      <c r="A179" s="39"/>
    </row>
    <row r="180" spans="1:1" x14ac:dyDescent="0.25">
      <c r="A180" s="39"/>
    </row>
    <row r="181" spans="1:1" x14ac:dyDescent="0.25">
      <c r="A181" s="39"/>
    </row>
    <row r="182" spans="1:1" x14ac:dyDescent="0.25">
      <c r="A182" s="39"/>
    </row>
    <row r="183" spans="1:1" x14ac:dyDescent="0.25">
      <c r="A183" s="39"/>
    </row>
    <row r="184" spans="1:1" x14ac:dyDescent="0.25">
      <c r="A184" s="39"/>
    </row>
    <row r="185" spans="1:1" x14ac:dyDescent="0.25">
      <c r="A185" s="39"/>
    </row>
    <row r="186" spans="1:1" x14ac:dyDescent="0.25">
      <c r="A186" s="39"/>
    </row>
    <row r="187" spans="1:1" x14ac:dyDescent="0.25">
      <c r="A187" s="39"/>
    </row>
    <row r="188" spans="1:1" x14ac:dyDescent="0.25">
      <c r="A188" s="39"/>
    </row>
    <row r="189" spans="1:1" x14ac:dyDescent="0.25">
      <c r="A189" s="39"/>
    </row>
    <row r="190" spans="1:1" x14ac:dyDescent="0.25">
      <c r="A190" s="39"/>
    </row>
    <row r="191" spans="1:1" x14ac:dyDescent="0.25">
      <c r="A191" s="39"/>
    </row>
    <row r="192" spans="1:1" x14ac:dyDescent="0.25">
      <c r="A192" s="39"/>
    </row>
    <row r="193" spans="1:1" x14ac:dyDescent="0.25">
      <c r="A193" s="39"/>
    </row>
    <row r="194" spans="1:1" x14ac:dyDescent="0.25">
      <c r="A194" s="39"/>
    </row>
    <row r="195" spans="1:1" x14ac:dyDescent="0.25">
      <c r="A195" s="39"/>
    </row>
    <row r="196" spans="1:1" x14ac:dyDescent="0.25">
      <c r="A196" s="39"/>
    </row>
    <row r="197" spans="1:1" x14ac:dyDescent="0.25">
      <c r="A197" s="39"/>
    </row>
    <row r="198" spans="1:1" x14ac:dyDescent="0.25">
      <c r="A198" s="39"/>
    </row>
    <row r="199" spans="1:1" x14ac:dyDescent="0.25">
      <c r="A199" s="39"/>
    </row>
    <row r="200" spans="1:1" x14ac:dyDescent="0.25">
      <c r="A200" s="39"/>
    </row>
    <row r="201" spans="1:1" x14ac:dyDescent="0.25">
      <c r="A201" s="39"/>
    </row>
    <row r="202" spans="1:1" x14ac:dyDescent="0.25">
      <c r="A202" s="39"/>
    </row>
    <row r="203" spans="1:1" x14ac:dyDescent="0.25">
      <c r="A203" s="39"/>
    </row>
    <row r="204" spans="1:1" x14ac:dyDescent="0.25">
      <c r="A204" s="39"/>
    </row>
    <row r="205" spans="1:1" x14ac:dyDescent="0.25">
      <c r="A205" s="39"/>
    </row>
    <row r="206" spans="1:1" x14ac:dyDescent="0.25">
      <c r="A206" s="39"/>
    </row>
    <row r="207" spans="1:1" x14ac:dyDescent="0.25">
      <c r="A207" s="39"/>
    </row>
    <row r="208" spans="1:1" x14ac:dyDescent="0.25">
      <c r="A208" s="39"/>
    </row>
    <row r="209" spans="1:1" x14ac:dyDescent="0.25">
      <c r="A209" s="39"/>
    </row>
  </sheetData>
  <autoFilter ref="A3:H3" xr:uid="{00000000-0009-0000-0000-000003000000}">
    <filterColumn colId="0">
      <filters>
        <filter val="Data"/>
      </filters>
    </filterColumn>
  </autoFilter>
  <mergeCells count="2">
    <mergeCell ref="A2:J2"/>
    <mergeCell ref="A1:J1"/>
  </mergeCells>
  <conditionalFormatting sqref="I3 I10:I1048576">
    <cfRule type="cellIs" dxfId="19" priority="21" operator="equal">
      <formula>"COM DOCUMENTO"</formula>
    </cfRule>
    <cfRule type="cellIs" dxfId="18" priority="22" operator="equal">
      <formula>"SEM DOCUMENTO"</formula>
    </cfRule>
  </conditionalFormatting>
  <conditionalFormatting sqref="I3">
    <cfRule type="cellIs" dxfId="17" priority="18" operator="equal">
      <formula>"COM DOCUMENTO"</formula>
    </cfRule>
    <cfRule type="cellIs" dxfId="16" priority="19" operator="equal">
      <formula>"COM DOCUMENTO"</formula>
    </cfRule>
    <cfRule type="cellIs" dxfId="15" priority="20" operator="equal">
      <formula>"SEM DOCUMENTO"</formula>
    </cfRule>
  </conditionalFormatting>
  <conditionalFormatting sqref="J3 J10:J1048576">
    <cfRule type="cellIs" dxfId="14" priority="14" operator="equal">
      <formula>"RESOLVIDO"</formula>
    </cfRule>
    <cfRule type="cellIs" dxfId="13" priority="15" operator="equal">
      <formula>"PENDENTE"</formula>
    </cfRule>
  </conditionalFormatting>
  <conditionalFormatting sqref="I1:I3 I10:I1048576">
    <cfRule type="cellIs" dxfId="12" priority="13" operator="equal">
      <formula>"ERROR CRIAÇÃO"</formula>
    </cfRule>
  </conditionalFormatting>
  <conditionalFormatting sqref="I4:I7">
    <cfRule type="cellIs" dxfId="11" priority="10" operator="equal">
      <formula>"COM DOCUMENTO"</formula>
    </cfRule>
    <cfRule type="cellIs" dxfId="10" priority="11" operator="equal">
      <formula>"COM DOCUMENTO"</formula>
    </cfRule>
    <cfRule type="cellIs" dxfId="9" priority="12" operator="equal">
      <formula>"SEM DOCUMENTO"</formula>
    </cfRule>
  </conditionalFormatting>
  <conditionalFormatting sqref="J4:J7">
    <cfRule type="cellIs" dxfId="8" priority="8" operator="equal">
      <formula>"RESOLVIDO"</formula>
    </cfRule>
    <cfRule type="cellIs" dxfId="7" priority="9" operator="equal">
      <formula>"PENDENTE"</formula>
    </cfRule>
  </conditionalFormatting>
  <conditionalFormatting sqref="I4:I7">
    <cfRule type="cellIs" dxfId="6" priority="7" operator="equal">
      <formula>"ERROR CRIAÇÃO"</formula>
    </cfRule>
  </conditionalFormatting>
  <conditionalFormatting sqref="I8:I9">
    <cfRule type="cellIs" dxfId="5" priority="4" operator="equal">
      <formula>"COM DOCUMENTO"</formula>
    </cfRule>
    <cfRule type="cellIs" dxfId="4" priority="5" operator="equal">
      <formula>"COM DOCUMENTO"</formula>
    </cfRule>
    <cfRule type="cellIs" dxfId="3" priority="6" operator="equal">
      <formula>"SEM DOCUMENTO"</formula>
    </cfRule>
  </conditionalFormatting>
  <conditionalFormatting sqref="J8:J9">
    <cfRule type="cellIs" dxfId="2" priority="2" operator="equal">
      <formula>"RESOLVIDO"</formula>
    </cfRule>
    <cfRule type="cellIs" dxfId="1" priority="3" operator="equal">
      <formula>"PENDENTE"</formula>
    </cfRule>
  </conditionalFormatting>
  <conditionalFormatting sqref="I8:I9">
    <cfRule type="cellIs" dxfId="0" priority="1" operator="equal">
      <formula>"ERROR CRIAÇÃO"</formula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FFFF00"/>
  </sheetPr>
  <dimension ref="A1:AN1048576"/>
  <sheetViews>
    <sheetView topLeftCell="B1" zoomScaleNormal="100" workbookViewId="0">
      <selection activeCell="F28" sqref="F28"/>
    </sheetView>
  </sheetViews>
  <sheetFormatPr defaultRowHeight="15" x14ac:dyDescent="0.25"/>
  <cols>
    <col min="1" max="1" width="12.7109375" customWidth="1"/>
  </cols>
  <sheetData>
    <row r="1" spans="1:40" ht="15.75" thickBot="1" x14ac:dyDescent="0.3">
      <c r="A1" s="115" t="s">
        <v>8</v>
      </c>
      <c r="B1" s="124"/>
      <c r="C1" s="112" t="s">
        <v>9</v>
      </c>
      <c r="D1" s="113" t="s">
        <v>24</v>
      </c>
      <c r="E1" s="113" t="s">
        <v>10</v>
      </c>
      <c r="F1" s="113" t="s">
        <v>24</v>
      </c>
      <c r="G1" s="113" t="s">
        <v>11</v>
      </c>
      <c r="H1" s="113" t="s">
        <v>24</v>
      </c>
      <c r="I1" s="113" t="s">
        <v>12</v>
      </c>
      <c r="J1" s="113" t="s">
        <v>24</v>
      </c>
      <c r="K1" s="113" t="s">
        <v>13</v>
      </c>
      <c r="L1" s="113" t="s">
        <v>24</v>
      </c>
      <c r="M1" s="113" t="s">
        <v>14</v>
      </c>
      <c r="N1" s="113" t="s">
        <v>24</v>
      </c>
      <c r="O1" s="113" t="s">
        <v>15</v>
      </c>
      <c r="P1" s="113" t="s">
        <v>24</v>
      </c>
      <c r="Q1" s="113" t="s">
        <v>16</v>
      </c>
      <c r="R1" s="113" t="s">
        <v>24</v>
      </c>
      <c r="S1" s="113" t="s">
        <v>17</v>
      </c>
      <c r="T1" s="113" t="s">
        <v>24</v>
      </c>
      <c r="U1" s="113" t="s">
        <v>18</v>
      </c>
      <c r="V1" s="113" t="s">
        <v>24</v>
      </c>
      <c r="W1" s="113" t="s">
        <v>19</v>
      </c>
      <c r="X1" s="113" t="s">
        <v>24</v>
      </c>
      <c r="Y1" s="113" t="s">
        <v>20</v>
      </c>
      <c r="Z1" s="114" t="s">
        <v>24</v>
      </c>
      <c r="AB1" s="3"/>
      <c r="AC1" s="17" t="s">
        <v>9</v>
      </c>
      <c r="AD1" s="17" t="s">
        <v>10</v>
      </c>
      <c r="AE1" s="17" t="s">
        <v>11</v>
      </c>
      <c r="AF1" s="17" t="s">
        <v>12</v>
      </c>
      <c r="AG1" s="17" t="s">
        <v>13</v>
      </c>
      <c r="AH1" s="17" t="s">
        <v>14</v>
      </c>
      <c r="AI1" s="17" t="s">
        <v>15</v>
      </c>
      <c r="AJ1" s="17" t="s">
        <v>16</v>
      </c>
      <c r="AK1" s="17" t="s">
        <v>17</v>
      </c>
      <c r="AL1" s="17" t="s">
        <v>18</v>
      </c>
      <c r="AM1" s="17" t="s">
        <v>19</v>
      </c>
      <c r="AN1" s="17" t="s">
        <v>20</v>
      </c>
    </row>
    <row r="2" spans="1:40" ht="15.75" thickBot="1" x14ac:dyDescent="0.3">
      <c r="A2" s="116" t="s">
        <v>21</v>
      </c>
      <c r="B2" s="125"/>
      <c r="C2" s="120">
        <f>SUMIFS(Linhas!$D$4:$D$1923,Linhas!$E$4:$E$1923,'Dados Linha'!$A2,Linhas!$A$4:$A$1923,"&gt;=01/01/2022",Linhas!$A$4:$A$1923,"&lt;01/02/2022")</f>
        <v>0</v>
      </c>
      <c r="D2" s="89" t="e">
        <f t="shared" ref="D2:D21" si="0">$C2/AC$1</f>
        <v>#VALUE!</v>
      </c>
      <c r="E2" s="90">
        <f>SUMIFS(Linhas!$D$4:$D$1923,Linhas!$E$4:$E$1923,'Dados Linha'!$A2,Linhas!$A$4:$A$1923,"&gt;=01/02/2022",Linhas!$A$4:$A$1923,"&lt;01/03/2022")</f>
        <v>0</v>
      </c>
      <c r="F2" s="91" t="e">
        <f t="shared" ref="F2:F20" si="1">$E2/$AD$1</f>
        <v>#VALUE!</v>
      </c>
      <c r="G2" s="92">
        <f>SUMIFS(Linhas!$D$4:$D$1923,Linhas!$E$4:$E$1923,'Dados Linha'!$A2,Linhas!$A$4:$A$1923,"&gt;=01/03/2022",Linhas!$A$4:$A$1923,"&lt;01/04/2022")</f>
        <v>0</v>
      </c>
      <c r="H2" s="93" t="e">
        <f t="shared" ref="H2:H22" si="2">$G2/$AE$1</f>
        <v>#VALUE!</v>
      </c>
      <c r="I2" s="94">
        <f>SUMIFS(Linhas!$D$4:$D$1923,Linhas!$E$4:$E$1923,'Dados Linha'!$A2,Linhas!$A$4:$A$1923,"&gt;=01/04/2022",Linhas!$A$4:$A$1923,"&lt;01/05/2022")</f>
        <v>0</v>
      </c>
      <c r="J2" s="95" t="e">
        <f t="shared" ref="J2:J22" si="3">$I2/$AF$1</f>
        <v>#VALUE!</v>
      </c>
      <c r="K2" s="96">
        <f>SUMIFS(Linhas!$D$4:$D$1923,Linhas!$E$4:$E$1923,'Dados Linha'!$A2,Linhas!$A$4:$A$1923,"&gt;=01/05/2022",Linhas!$A$4:$A$1923,"&lt;01/06/2022")</f>
        <v>0</v>
      </c>
      <c r="L2" s="97" t="e">
        <f t="shared" ref="L2:L22" si="4">$K2/$AG$1</f>
        <v>#VALUE!</v>
      </c>
      <c r="M2" s="98">
        <f>SUMIFS(Linhas!$D$4:$D$1923,Linhas!$E$4:$E$1923,'Dados Linha'!$A2,Linhas!$A$4:$A$1923,"&gt;=01/06/2022",Linhas!$A$4:$A$1923,"&lt;01/07/2022")</f>
        <v>0</v>
      </c>
      <c r="N2" s="99" t="e">
        <f t="shared" ref="N2:N22" si="5">$M2/$AH$1</f>
        <v>#VALUE!</v>
      </c>
      <c r="O2" s="100">
        <f>SUMIFS(Linhas!$D$4:$D$1923,Linhas!$E$4:$E$1923,'Dados Linha'!$A2,Linhas!$A$4:$A$1923,"&gt;=01/07/2022",Linhas!$A$4:$A$1923,"&lt;01/08/2022")</f>
        <v>0</v>
      </c>
      <c r="P2" s="101" t="e">
        <f t="shared" ref="P2:P22" si="6">$O2/$AI$1</f>
        <v>#VALUE!</v>
      </c>
      <c r="Q2" s="102">
        <f>SUMIFS(Linhas!$D$4:$D$1923,Linhas!$E$4:$E$1923,'Dados Linha'!$A2,Linhas!$A$4:$A$1923,"&gt;=01/08/2022",Linhas!$A$4:$A$1923,"&lt;01/09/2022")</f>
        <v>0</v>
      </c>
      <c r="R2" s="103" t="e">
        <f t="shared" ref="R2:R22" si="7">$Q2/$AJ$1</f>
        <v>#VALUE!</v>
      </c>
      <c r="S2" s="104">
        <f>SUMIFS(Linhas!$D$4:$D$1923,Linhas!$E$4:$E$1923,'Dados Linha'!$A2,Linhas!$A$4:$A$1923,"&gt;=01/09/2022",Linhas!$A$4:$A$1923,"&lt;01/10/2022")</f>
        <v>0</v>
      </c>
      <c r="T2" s="105" t="e">
        <f t="shared" ref="T2:T22" si="8">$S2/$AK$1</f>
        <v>#VALUE!</v>
      </c>
      <c r="U2" s="106">
        <f>SUMIFS(Linhas!$D$4:$D$1923,Linhas!$E$4:$E$1923,'Dados Linha'!$A2,Linhas!$A$4:$A$1923,"&gt;=01/10/2022",Linhas!$A$4:$A$1923,"&lt;01/11/2022")</f>
        <v>0</v>
      </c>
      <c r="V2" s="107" t="e">
        <f t="shared" ref="V2:V22" si="9">$U2/$AL$1</f>
        <v>#VALUE!</v>
      </c>
      <c r="W2" s="108">
        <f>SUMIFS(Linhas!$D$4:$D$1923,Linhas!$E$4:$E$1923,'Dados Linha'!$A2,Linhas!$A$4:$A$1923,"&gt;=01/11/2022",Linhas!$A$4:$A$1923,"&lt;01/12/2022")</f>
        <v>0</v>
      </c>
      <c r="X2" s="109" t="e">
        <f t="shared" ref="X2:X22" si="10">$W2/$AM$1</f>
        <v>#VALUE!</v>
      </c>
      <c r="Y2" s="110">
        <f>SUMIFS(Linhas!$D$4:$D$1923,Linhas!$E$4:$E$1923,'Dados Linha'!$A2,Linhas!$A$4:$A$1923,"&gt;=01/12/2022",Linhas!$A$4:$A$1923,"&lt;=31/12/2022")</f>
        <v>0</v>
      </c>
      <c r="Z2" s="111" t="e">
        <f t="shared" ref="Z2:Z22" si="11">$Y2/$AN$1</f>
        <v>#VALUE!</v>
      </c>
      <c r="AB2" s="4" t="s">
        <v>25</v>
      </c>
      <c r="AC2" s="18">
        <f>SUMIFS(Linhas!$D$4:$D$1925,Linhas!$A$4:$A$1925,"&gt;=01/01/2022",Linhas!$A$4:$A$1925,"&lt;01/02/2022")</f>
        <v>0</v>
      </c>
      <c r="AD2" s="18">
        <f>SUMIFS(Linhas!$D$4:$D$1925,Linhas!$A$4:$A$1925,"&gt;=01/02/2022",Linhas!$A$4:$A$1925,"&lt;01/03/2022")</f>
        <v>0</v>
      </c>
      <c r="AE2" s="18">
        <f>SUMIFS(Linhas!$D$4:$D$1925,Linhas!$A$4:$A$1925,"&gt;=01/03/2022",Linhas!$A$4:$A$1925,"&lt;01/04/2022")</f>
        <v>0</v>
      </c>
      <c r="AF2" s="18">
        <f>SUMIFS(Linhas!$D$4:$D$1925,Linhas!$A$4:$A$1925,"&gt;=01/04/2022",Linhas!$A$4:$A$1925,"&lt;01/05/2022")</f>
        <v>0</v>
      </c>
      <c r="AG2" s="18">
        <f>SUMIFS(Linhas!$D$4:$D$1925,Linhas!$A$4:$A$1925,"&gt;=01/05/2022",Linhas!$A$4:$A$1925,"&lt;01/06/2022")</f>
        <v>0</v>
      </c>
      <c r="AH2" s="18">
        <f>SUMIFS(Linhas!$D$4:$D$1925,Linhas!$A$4:$A$1925,"&gt;=01/06/2022",Linhas!$A$4:$A$1925,"&lt;01/07/2022")</f>
        <v>0</v>
      </c>
      <c r="AI2" s="18">
        <f>SUMIFS(Linhas!$D$4:$D$1925,Linhas!$A$4:$A$1925,"&gt;=01/07/2022",Linhas!$A$4:$A$1925,"&lt;01/08/2022")</f>
        <v>0</v>
      </c>
      <c r="AJ2" s="18">
        <f>SUMIFS(Linhas!$D$4:$D$1925,Linhas!$A$4:$A$1925,"&gt;=01/08/2022",Linhas!$A$4:$A$1925,"&lt;01/09/2022")</f>
        <v>0</v>
      </c>
      <c r="AK2" s="18">
        <f>SUMIFS(Linhas!$D$4:$D$1925,Linhas!$A$4:$A$1925,"&gt;=01/09/2022",Linhas!$A$4:$A$1925,"&lt;01/10/2022")</f>
        <v>0</v>
      </c>
      <c r="AL2" s="18">
        <f>SUMIFS(Linhas!$D$4:$D$1925,Linhas!$A$4:$A$1925,"&gt;=01/10/2022",Linhas!$A$4:$A$1925,"&lt;01/11/2022")</f>
        <v>0</v>
      </c>
      <c r="AM2" s="18">
        <f>SUMIFS(Linhas!$D$4:$D$1925,Linhas!$A$4:$A$1925,"&gt;=01/11/2022",Linhas!$A$4:$A$1925,"&lt;01/12/2022")</f>
        <v>0</v>
      </c>
      <c r="AN2" s="18">
        <f>SUMIFS(Linhas!$D$4:$D$1925,Linhas!$A$4:$A$1925,"&gt;=01/12/2022",Linhas!$A$4:$A$1925,"&lt;=31/12/2022")</f>
        <v>0</v>
      </c>
    </row>
    <row r="3" spans="1:40" x14ac:dyDescent="0.25">
      <c r="A3" s="117"/>
      <c r="B3" s="126"/>
      <c r="C3" s="121">
        <f>SUMIFS(Linhas!$D$4:$D$1923,Linhas!$E$4:$E$1923,'Dados Linha'!$A3,Linhas!$A$4:$A$1923,"&gt;=01/01/2022",Linhas!$A$4:$A$1923,"&lt;01/02/2022")</f>
        <v>0</v>
      </c>
      <c r="D3" s="21" t="e">
        <f t="shared" si="0"/>
        <v>#VALUE!</v>
      </c>
      <c r="E3" s="7">
        <f>SUMIFS(Linhas!$D$4:$D$1923,Linhas!$E$4:$E$1923,'Dados Linha'!$A3,Linhas!$A$4:$A$1923,"&gt;=01/02/2022",Linhas!$A$4:$A$1923,"&lt;01/03/2022")</f>
        <v>0</v>
      </c>
      <c r="F3" s="22" t="e">
        <f t="shared" si="1"/>
        <v>#VALUE!</v>
      </c>
      <c r="G3" s="8">
        <f>SUMIFS(Linhas!$D$4:$D$1923,Linhas!$E$4:$E$1923,'Dados Linha'!$A3,Linhas!$A$4:$A$1923,"&gt;=01/03/2022",Linhas!$A$4:$A$1923,"&lt;01/04/2022")</f>
        <v>0</v>
      </c>
      <c r="H3" s="23" t="e">
        <f t="shared" si="2"/>
        <v>#VALUE!</v>
      </c>
      <c r="I3" s="9">
        <f>SUMIFS(Linhas!$D$4:$D$1923,Linhas!$E$4:$E$1923,'Dados Linha'!$A3,Linhas!$A$4:$A$1923,"&gt;=01/04/2022",Linhas!$A$4:$A$1923,"&lt;01/05/2022")</f>
        <v>0</v>
      </c>
      <c r="J3" s="24" t="e">
        <f t="shared" si="3"/>
        <v>#VALUE!</v>
      </c>
      <c r="K3" s="10">
        <f>SUMIFS(Linhas!$D$4:$D$1923,Linhas!$E$4:$E$1923,'Dados Linha'!$A3,Linhas!$A$4:$A$1923,"&gt;=01/05/2022",Linhas!$A$4:$A$1923,"&lt;01/06/2022")</f>
        <v>0</v>
      </c>
      <c r="L3" s="25" t="e">
        <f t="shared" si="4"/>
        <v>#VALUE!</v>
      </c>
      <c r="M3" s="11">
        <f>SUMIFS(Linhas!$D$4:$D$1923,Linhas!$E$4:$E$1923,'Dados Linha'!$A3,Linhas!$A$4:$A$1923,"&gt;=01/06/2022",Linhas!$A$4:$A$1923,"&lt;01/07/2022")</f>
        <v>0</v>
      </c>
      <c r="N3" s="26" t="e">
        <f t="shared" si="5"/>
        <v>#VALUE!</v>
      </c>
      <c r="O3" s="12">
        <f>SUMIFS(Linhas!$D$4:$D$1923,Linhas!$E$4:$E$1923,'Dados Linha'!$A3,Linhas!$A$4:$A$1923,"&gt;=01/07/2022",Linhas!$A$4:$A$1923,"&lt;01/08/2022")</f>
        <v>0</v>
      </c>
      <c r="P3" s="27" t="e">
        <f t="shared" si="6"/>
        <v>#VALUE!</v>
      </c>
      <c r="Q3" s="13">
        <f>SUMIFS(Linhas!$D$4:$D$1923,Linhas!$E$4:$E$1923,'Dados Linha'!$A3,Linhas!$A$4:$A$1923,"&gt;=01/08/2022",Linhas!$A$4:$A$1923,"&lt;01/09/2022")</f>
        <v>0</v>
      </c>
      <c r="R3" s="28" t="e">
        <f t="shared" si="7"/>
        <v>#VALUE!</v>
      </c>
      <c r="S3" s="14">
        <f>SUMIFS(Linhas!$D$4:$D$1923,Linhas!$E$4:$E$1923,'Dados Linha'!$A3,Linhas!$A$4:$A$1923,"&gt;=01/09/2022",Linhas!$A$4:$A$1923,"&lt;01/10/2022")</f>
        <v>0</v>
      </c>
      <c r="T3" s="29" t="e">
        <f t="shared" si="8"/>
        <v>#VALUE!</v>
      </c>
      <c r="U3" s="15">
        <f>SUMIFS(Linhas!$D$4:$D$1923,Linhas!$E$4:$E$1923,'Dados Linha'!$A3,Linhas!$A$4:$A$1923,"&gt;=01/10/2022",Linhas!$A$4:$A$1923,"&lt;01/11/2022")</f>
        <v>0</v>
      </c>
      <c r="V3" s="30" t="e">
        <f t="shared" si="9"/>
        <v>#VALUE!</v>
      </c>
      <c r="W3" s="16">
        <f>SUMIFS(Linhas!$D$4:$D$1923,Linhas!$E$4:$E$1923,'Dados Linha'!$A3,Linhas!$A$4:$A$1923,"&gt;=01/11/2022",Linhas!$A$4:$A$1923,"&lt;01/12/2022")</f>
        <v>0</v>
      </c>
      <c r="X3" s="31" t="e">
        <f t="shared" si="10"/>
        <v>#VALUE!</v>
      </c>
      <c r="Y3" s="6">
        <f>SUMIFS(Linhas!$D$4:$D$1923,Linhas!$E$4:$E$1923,'Dados Linha'!$A3,Linhas!$A$4:$A$1923,"&gt;=01/12/2022",Linhas!$A$4:$A$1923,"&lt;=31/12/2022")</f>
        <v>0</v>
      </c>
      <c r="Z3" s="64" t="e">
        <f t="shared" si="11"/>
        <v>#VALUE!</v>
      </c>
    </row>
    <row r="4" spans="1:40" x14ac:dyDescent="0.25">
      <c r="A4" s="117"/>
      <c r="B4" s="126"/>
      <c r="C4" s="121">
        <f>SUMIFS(Linhas!$D$4:$D$1923,Linhas!$E$4:$E$1923,'Dados Linha'!$A4,Linhas!$A$4:$A$1923,"&gt;=01/01/2022",Linhas!$A$4:$A$1923,"&lt;01/02/2022")</f>
        <v>0</v>
      </c>
      <c r="D4" s="21" t="e">
        <f t="shared" si="0"/>
        <v>#VALUE!</v>
      </c>
      <c r="E4" s="7">
        <f>SUMIFS(Linhas!$D$4:$D$1923,Linhas!$E$4:$E$1923,'Dados Linha'!$A4,Linhas!$A$4:$A$1923,"&gt;=01/02/2022",Linhas!$A$4:$A$1923,"&lt;01/03/2022")</f>
        <v>0</v>
      </c>
      <c r="F4" s="22" t="e">
        <f t="shared" si="1"/>
        <v>#VALUE!</v>
      </c>
      <c r="G4" s="8">
        <f>SUMIFS(Linhas!$D$4:$D$1923,Linhas!$E$4:$E$1923,'Dados Linha'!$A4,Linhas!$A$4:$A$1923,"&gt;=01/03/2022",Linhas!$A$4:$A$1923,"&lt;01/04/2022")</f>
        <v>0</v>
      </c>
      <c r="H4" s="23" t="e">
        <f t="shared" si="2"/>
        <v>#VALUE!</v>
      </c>
      <c r="I4" s="9">
        <f>SUMIFS(Linhas!$D$4:$D$1923,Linhas!$E$4:$E$1923,'Dados Linha'!$A4,Linhas!$A$4:$A$1923,"&gt;=01/04/2022",Linhas!$A$4:$A$1923,"&lt;01/05/2022")</f>
        <v>0</v>
      </c>
      <c r="J4" s="24" t="e">
        <f t="shared" si="3"/>
        <v>#VALUE!</v>
      </c>
      <c r="K4" s="10">
        <f>SUMIFS(Linhas!$D$4:$D$1923,Linhas!$E$4:$E$1923,'Dados Linha'!$A4,Linhas!$A$4:$A$1923,"&gt;=01/05/2022",Linhas!$A$4:$A$1923,"&lt;01/06/2022")</f>
        <v>0</v>
      </c>
      <c r="L4" s="25" t="e">
        <f t="shared" si="4"/>
        <v>#VALUE!</v>
      </c>
      <c r="M4" s="11">
        <f>SUMIFS(Linhas!$D$4:$D$1923,Linhas!$E$4:$E$1923,'Dados Linha'!$A4,Linhas!$A$4:$A$1923,"&gt;=01/06/2022",Linhas!$A$4:$A$1923,"&lt;01/07/2022")</f>
        <v>0</v>
      </c>
      <c r="N4" s="26" t="e">
        <f t="shared" si="5"/>
        <v>#VALUE!</v>
      </c>
      <c r="O4" s="12">
        <f>SUMIFS(Linhas!$D$4:$D$1923,Linhas!$E$4:$E$1923,'Dados Linha'!$A4,Linhas!$A$4:$A$1923,"&gt;=01/07/2022",Linhas!$A$4:$A$1923,"&lt;01/08/2022")</f>
        <v>0</v>
      </c>
      <c r="P4" s="27" t="e">
        <f t="shared" si="6"/>
        <v>#VALUE!</v>
      </c>
      <c r="Q4" s="13">
        <f>SUMIFS(Linhas!$D$4:$D$1923,Linhas!$E$4:$E$1923,'Dados Linha'!$A4,Linhas!$A$4:$A$1923,"&gt;=01/08/2022",Linhas!$A$4:$A$1923,"&lt;01/09/2022")</f>
        <v>0</v>
      </c>
      <c r="R4" s="28" t="e">
        <f t="shared" si="7"/>
        <v>#VALUE!</v>
      </c>
      <c r="S4" s="14">
        <f>SUMIFS(Linhas!$D$4:$D$1923,Linhas!$E$4:$E$1923,'Dados Linha'!$A4,Linhas!$A$4:$A$1923,"&gt;=01/09/2022",Linhas!$A$4:$A$1923,"&lt;01/10/2022")</f>
        <v>0</v>
      </c>
      <c r="T4" s="29" t="e">
        <f t="shared" si="8"/>
        <v>#VALUE!</v>
      </c>
      <c r="U4" s="15">
        <f>SUMIFS(Linhas!$D$4:$D$1923,Linhas!$E$4:$E$1923,'Dados Linha'!$A4,Linhas!$A$4:$A$1923,"&gt;=01/10/2022",Linhas!$A$4:$A$1923,"&lt;01/11/2022")</f>
        <v>0</v>
      </c>
      <c r="V4" s="30" t="e">
        <f t="shared" si="9"/>
        <v>#VALUE!</v>
      </c>
      <c r="W4" s="16">
        <f>SUMIFS(Linhas!$D$4:$D$1923,Linhas!$E$4:$E$1923,'Dados Linha'!$A4,Linhas!$A$4:$A$1923,"&gt;=01/11/2022",Linhas!$A$4:$A$1923,"&lt;01/12/2022")</f>
        <v>0</v>
      </c>
      <c r="X4" s="31" t="e">
        <f t="shared" si="10"/>
        <v>#VALUE!</v>
      </c>
      <c r="Y4" s="6">
        <f>SUMIFS(Linhas!$D$4:$D$1923,Linhas!$E$4:$E$1923,'Dados Linha'!$A4,Linhas!$A$4:$A$1923,"&gt;=01/12/2022",Linhas!$A$4:$A$1923,"&lt;=31/12/2022")</f>
        <v>0</v>
      </c>
      <c r="Z4" s="64" t="e">
        <f t="shared" si="11"/>
        <v>#VALUE!</v>
      </c>
    </row>
    <row r="5" spans="1:40" x14ac:dyDescent="0.25">
      <c r="A5" s="117"/>
      <c r="B5" s="126"/>
      <c r="C5" s="121">
        <f>SUMIFS(Linhas!$D$4:$D$1923,Linhas!$E$4:$E$1923,'Dados Linha'!$A5,Linhas!$A$4:$A$1923,"&gt;=01/01/2022",Linhas!$A$4:$A$1923,"&lt;01/02/2022")</f>
        <v>0</v>
      </c>
      <c r="D5" s="21" t="e">
        <f t="shared" si="0"/>
        <v>#VALUE!</v>
      </c>
      <c r="E5" s="7">
        <f>SUMIFS(Linhas!$D$4:$D$1923,Linhas!$E$4:$E$1923,'Dados Linha'!$A5,Linhas!$A$4:$A$1923,"&gt;=01/02/2022",Linhas!$A$4:$A$1923,"&lt;01/03/2022")</f>
        <v>0</v>
      </c>
      <c r="F5" s="22" t="e">
        <f t="shared" si="1"/>
        <v>#VALUE!</v>
      </c>
      <c r="G5" s="8">
        <f>SUMIFS(Linhas!$D$4:$D$1923,Linhas!$E$4:$E$1923,'Dados Linha'!$A5,Linhas!$A$4:$A$1923,"&gt;=01/03/2022",Linhas!$A$4:$A$1923,"&lt;01/04/2022")</f>
        <v>0</v>
      </c>
      <c r="H5" s="23" t="e">
        <f t="shared" si="2"/>
        <v>#VALUE!</v>
      </c>
      <c r="I5" s="9">
        <f>SUMIFS(Linhas!$D$4:$D$1923,Linhas!$E$4:$E$1923,'Dados Linha'!$A5,Linhas!$A$4:$A$1923,"&gt;=01/04/2022",Linhas!$A$4:$A$1923,"&lt;01/05/2022")</f>
        <v>0</v>
      </c>
      <c r="J5" s="24" t="e">
        <f t="shared" si="3"/>
        <v>#VALUE!</v>
      </c>
      <c r="K5" s="10">
        <f>SUMIFS(Linhas!$D$4:$D$1923,Linhas!$E$4:$E$1923,'Dados Linha'!$A5,Linhas!$A$4:$A$1923,"&gt;=01/05/2022",Linhas!$A$4:$A$1923,"&lt;01/06/2022")</f>
        <v>0</v>
      </c>
      <c r="L5" s="25" t="e">
        <f t="shared" si="4"/>
        <v>#VALUE!</v>
      </c>
      <c r="M5" s="11">
        <f>SUMIFS(Linhas!$D$4:$D$1923,Linhas!$E$4:$E$1923,'Dados Linha'!$A5,Linhas!$A$4:$A$1923,"&gt;=01/06/2022",Linhas!$A$4:$A$1923,"&lt;01/07/2022")</f>
        <v>0</v>
      </c>
      <c r="N5" s="26" t="e">
        <f t="shared" si="5"/>
        <v>#VALUE!</v>
      </c>
      <c r="O5" s="12">
        <f>SUMIFS(Linhas!$D$4:$D$1923,Linhas!$E$4:$E$1923,'Dados Linha'!$A5,Linhas!$A$4:$A$1923,"&gt;=01/07/2022",Linhas!$A$4:$A$1923,"&lt;01/08/2022")</f>
        <v>0</v>
      </c>
      <c r="P5" s="27" t="e">
        <f t="shared" si="6"/>
        <v>#VALUE!</v>
      </c>
      <c r="Q5" s="13">
        <f>SUMIFS(Linhas!$D$4:$D$1923,Linhas!$E$4:$E$1923,'Dados Linha'!$A5,Linhas!$A$4:$A$1923,"&gt;=01/08/2022",Linhas!$A$4:$A$1923,"&lt;01/09/2022")</f>
        <v>0</v>
      </c>
      <c r="R5" s="28" t="e">
        <f t="shared" si="7"/>
        <v>#VALUE!</v>
      </c>
      <c r="S5" s="14">
        <f>SUMIFS(Linhas!$D$4:$D$1923,Linhas!$E$4:$E$1923,'Dados Linha'!$A5,Linhas!$A$4:$A$1923,"&gt;=01/09/2022",Linhas!$A$4:$A$1923,"&lt;01/10/2022")</f>
        <v>0</v>
      </c>
      <c r="T5" s="29" t="e">
        <f t="shared" si="8"/>
        <v>#VALUE!</v>
      </c>
      <c r="U5" s="15">
        <f>SUMIFS(Linhas!$D$4:$D$1923,Linhas!$E$4:$E$1923,'Dados Linha'!$A5,Linhas!$A$4:$A$1923,"&gt;=01/10/2022",Linhas!$A$4:$A$1923,"&lt;01/11/2022")</f>
        <v>0</v>
      </c>
      <c r="V5" s="30" t="e">
        <f t="shared" si="9"/>
        <v>#VALUE!</v>
      </c>
      <c r="W5" s="16">
        <f>SUMIFS(Linhas!$D$4:$D$1923,Linhas!$E$4:$E$1923,'Dados Linha'!$A5,Linhas!$A$4:$A$1923,"&gt;=01/11/2022",Linhas!$A$4:$A$1923,"&lt;01/12/2022")</f>
        <v>0</v>
      </c>
      <c r="X5" s="31" t="e">
        <f t="shared" si="10"/>
        <v>#VALUE!</v>
      </c>
      <c r="Y5" s="6">
        <f>SUMIFS(Linhas!$D$4:$D$1923,Linhas!$E$4:$E$1923,'Dados Linha'!$A5,Linhas!$A$4:$A$1923,"&gt;=01/12/2022",Linhas!$A$4:$A$1923,"&lt;=31/12/2022")</f>
        <v>0</v>
      </c>
      <c r="Z5" s="64" t="e">
        <f t="shared" si="11"/>
        <v>#VALUE!</v>
      </c>
    </row>
    <row r="6" spans="1:40" x14ac:dyDescent="0.25">
      <c r="A6" s="117"/>
      <c r="B6" s="126"/>
      <c r="C6" s="121">
        <f>SUMIFS(Linhas!$D$4:$D$1923,Linhas!$E$4:$E$1923,'Dados Linha'!$A6,Linhas!$A$4:$A$1923,"&gt;=01/01/2022",Linhas!$A$4:$A$1923,"&lt;01/02/2022")</f>
        <v>0</v>
      </c>
      <c r="D6" s="21" t="e">
        <f t="shared" si="0"/>
        <v>#VALUE!</v>
      </c>
      <c r="E6" s="7">
        <f>SUMIFS(Linhas!$D$4:$D$1923,Linhas!$E$4:$E$1923,'Dados Linha'!$A6,Linhas!$A$4:$A$1923,"&gt;=01/02/2022",Linhas!$A$4:$A$1923,"&lt;01/03/2022")</f>
        <v>0</v>
      </c>
      <c r="F6" s="22" t="e">
        <f t="shared" si="1"/>
        <v>#VALUE!</v>
      </c>
      <c r="G6" s="8">
        <f>SUMIFS(Linhas!$D$4:$D$1923,Linhas!$E$4:$E$1923,'Dados Linha'!$A6,Linhas!$A$4:$A$1923,"&gt;=01/03/2022",Linhas!$A$4:$A$1923,"&lt;01/04/2022")</f>
        <v>0</v>
      </c>
      <c r="H6" s="23" t="e">
        <f t="shared" si="2"/>
        <v>#VALUE!</v>
      </c>
      <c r="I6" s="9">
        <f>SUMIFS(Linhas!$D$4:$D$1923,Linhas!$E$4:$E$1923,'Dados Linha'!$A6,Linhas!$A$4:$A$1923,"&gt;=01/04/2022",Linhas!$A$4:$A$1923,"&lt;01/05/2022")</f>
        <v>0</v>
      </c>
      <c r="J6" s="24" t="e">
        <f t="shared" si="3"/>
        <v>#VALUE!</v>
      </c>
      <c r="K6" s="10">
        <f>SUMIFS(Linhas!$D$4:$D$1923,Linhas!$E$4:$E$1923,'Dados Linha'!$A6,Linhas!$A$4:$A$1923,"&gt;=01/05/2022",Linhas!$A$4:$A$1923,"&lt;01/06/2022")</f>
        <v>0</v>
      </c>
      <c r="L6" s="25" t="e">
        <f t="shared" si="4"/>
        <v>#VALUE!</v>
      </c>
      <c r="M6" s="11">
        <f>SUMIFS(Linhas!$D$4:$D$1923,Linhas!$E$4:$E$1923,'Dados Linha'!$A6,Linhas!$A$4:$A$1923,"&gt;=01/06/2022",Linhas!$A$4:$A$1923,"&lt;01/07/2022")</f>
        <v>0</v>
      </c>
      <c r="N6" s="26" t="e">
        <f t="shared" si="5"/>
        <v>#VALUE!</v>
      </c>
      <c r="O6" s="12">
        <f>SUMIFS(Linhas!$D$4:$D$1923,Linhas!$E$4:$E$1923,'Dados Linha'!$A6,Linhas!$A$4:$A$1923,"&gt;=01/07/2022",Linhas!$A$4:$A$1923,"&lt;01/08/2022")</f>
        <v>0</v>
      </c>
      <c r="P6" s="27" t="e">
        <f t="shared" si="6"/>
        <v>#VALUE!</v>
      </c>
      <c r="Q6" s="13">
        <f>SUMIFS(Linhas!$D$4:$D$1923,Linhas!$E$4:$E$1923,'Dados Linha'!$A6,Linhas!$A$4:$A$1923,"&gt;=01/08/2022",Linhas!$A$4:$A$1923,"&lt;01/09/2022")</f>
        <v>0</v>
      </c>
      <c r="R6" s="28" t="e">
        <f t="shared" si="7"/>
        <v>#VALUE!</v>
      </c>
      <c r="S6" s="14">
        <f>SUMIFS(Linhas!$D$4:$D$1923,Linhas!$E$4:$E$1923,'Dados Linha'!$A6,Linhas!$A$4:$A$1923,"&gt;=01/09/2022",Linhas!$A$4:$A$1923,"&lt;01/10/2022")</f>
        <v>0</v>
      </c>
      <c r="T6" s="29" t="e">
        <f t="shared" si="8"/>
        <v>#VALUE!</v>
      </c>
      <c r="U6" s="15">
        <f>SUMIFS(Linhas!$D$4:$D$1923,Linhas!$E$4:$E$1923,'Dados Linha'!$A6,Linhas!$A$4:$A$1923,"&gt;=01/10/2022",Linhas!$A$4:$A$1923,"&lt;01/11/2022")</f>
        <v>0</v>
      </c>
      <c r="V6" s="30" t="e">
        <f t="shared" si="9"/>
        <v>#VALUE!</v>
      </c>
      <c r="W6" s="16">
        <f>SUMIFS(Linhas!$D$4:$D$1923,Linhas!$E$4:$E$1923,'Dados Linha'!$A6,Linhas!$A$4:$A$1923,"&gt;=01/11/2022",Linhas!$A$4:$A$1923,"&lt;01/12/2022")</f>
        <v>0</v>
      </c>
      <c r="X6" s="31" t="e">
        <f t="shared" si="10"/>
        <v>#VALUE!</v>
      </c>
      <c r="Y6" s="6">
        <f>SUMIFS(Linhas!$D$4:$D$1923,Linhas!$E$4:$E$1923,'Dados Linha'!$A6,Linhas!$A$4:$A$1923,"&gt;=01/12/2022",Linhas!$A$4:$A$1923,"&lt;=31/12/2022")</f>
        <v>0</v>
      </c>
      <c r="Z6" s="64" t="e">
        <f t="shared" si="11"/>
        <v>#VALUE!</v>
      </c>
    </row>
    <row r="7" spans="1:40" x14ac:dyDescent="0.25">
      <c r="A7" s="117"/>
      <c r="B7" s="126"/>
      <c r="C7" s="121">
        <f>SUMIFS(Linhas!$D$4:$D$1923,Linhas!$E$4:$E$1923,'Dados Linha'!$A7,Linhas!$A$4:$A$1923,"&gt;=01/01/2022",Linhas!$A$4:$A$1923,"&lt;01/02/2022")</f>
        <v>0</v>
      </c>
      <c r="D7" s="21" t="e">
        <f t="shared" si="0"/>
        <v>#VALUE!</v>
      </c>
      <c r="E7" s="7">
        <f>SUMIFS(Linhas!$D$4:$D$1923,Linhas!$E$4:$E$1923,'Dados Linha'!$A7,Linhas!$A$4:$A$1923,"&gt;=01/02/2022",Linhas!$A$4:$A$1923,"&lt;01/03/2022")</f>
        <v>0</v>
      </c>
      <c r="F7" s="22" t="e">
        <f t="shared" si="1"/>
        <v>#VALUE!</v>
      </c>
      <c r="G7" s="8">
        <f>SUMIFS(Linhas!$D$4:$D$1923,Linhas!$E$4:$E$1923,'Dados Linha'!$A7,Linhas!$A$4:$A$1923,"&gt;=01/03/2022",Linhas!$A$4:$A$1923,"&lt;01/04/2022")</f>
        <v>0</v>
      </c>
      <c r="H7" s="23" t="e">
        <f t="shared" si="2"/>
        <v>#VALUE!</v>
      </c>
      <c r="I7" s="9">
        <f>SUMIFS(Linhas!$D$4:$D$1923,Linhas!$E$4:$E$1923,'Dados Linha'!$A7,Linhas!$A$4:$A$1923,"&gt;=01/04/2022",Linhas!$A$4:$A$1923,"&lt;01/05/2022")</f>
        <v>0</v>
      </c>
      <c r="J7" s="24" t="e">
        <f t="shared" si="3"/>
        <v>#VALUE!</v>
      </c>
      <c r="K7" s="10">
        <f>SUMIFS(Linhas!$D$4:$D$1923,Linhas!$E$4:$E$1923,'Dados Linha'!$A7,Linhas!$A$4:$A$1923,"&gt;=01/05/2022",Linhas!$A$4:$A$1923,"&lt;01/06/2022")</f>
        <v>0</v>
      </c>
      <c r="L7" s="25" t="e">
        <f t="shared" si="4"/>
        <v>#VALUE!</v>
      </c>
      <c r="M7" s="11">
        <f>SUMIFS(Linhas!$D$4:$D$1923,Linhas!$E$4:$E$1923,'Dados Linha'!$A7,Linhas!$A$4:$A$1923,"&gt;=01/06/2022",Linhas!$A$4:$A$1923,"&lt;01/07/2022")</f>
        <v>0</v>
      </c>
      <c r="N7" s="26" t="e">
        <f t="shared" si="5"/>
        <v>#VALUE!</v>
      </c>
      <c r="O7" s="12">
        <f>SUMIFS(Linhas!$D$4:$D$1923,Linhas!$E$4:$E$1923,'Dados Linha'!$A7,Linhas!$A$4:$A$1923,"&gt;=01/07/2022",Linhas!$A$4:$A$1923,"&lt;01/08/2022")</f>
        <v>0</v>
      </c>
      <c r="P7" s="27" t="e">
        <f t="shared" si="6"/>
        <v>#VALUE!</v>
      </c>
      <c r="Q7" s="13">
        <f>SUMIFS(Linhas!$D$4:$D$1923,Linhas!$E$4:$E$1923,'Dados Linha'!$A7,Linhas!$A$4:$A$1923,"&gt;=01/08/2022",Linhas!$A$4:$A$1923,"&lt;01/09/2022")</f>
        <v>0</v>
      </c>
      <c r="R7" s="28" t="e">
        <f t="shared" si="7"/>
        <v>#VALUE!</v>
      </c>
      <c r="S7" s="14">
        <f>SUMIFS(Linhas!$D$4:$D$1923,Linhas!$E$4:$E$1923,'Dados Linha'!$A7,Linhas!$A$4:$A$1923,"&gt;=01/09/2022",Linhas!$A$4:$A$1923,"&lt;01/10/2022")</f>
        <v>0</v>
      </c>
      <c r="T7" s="29" t="e">
        <f t="shared" si="8"/>
        <v>#VALUE!</v>
      </c>
      <c r="U7" s="15">
        <f>SUMIFS(Linhas!$D$4:$D$1923,Linhas!$E$4:$E$1923,'Dados Linha'!$A7,Linhas!$A$4:$A$1923,"&gt;=01/10/2022",Linhas!$A$4:$A$1923,"&lt;01/11/2022")</f>
        <v>0</v>
      </c>
      <c r="V7" s="30" t="e">
        <f t="shared" si="9"/>
        <v>#VALUE!</v>
      </c>
      <c r="W7" s="16">
        <f>SUMIFS(Linhas!$D$4:$D$1923,Linhas!$E$4:$E$1923,'Dados Linha'!$A7,Linhas!$A$4:$A$1923,"&gt;=01/11/2022",Linhas!$A$4:$A$1923,"&lt;01/12/2022")</f>
        <v>0</v>
      </c>
      <c r="X7" s="31" t="e">
        <f t="shared" si="10"/>
        <v>#VALUE!</v>
      </c>
      <c r="Y7" s="6">
        <f>SUMIFS(Linhas!$D$4:$D$1923,Linhas!$E$4:$E$1923,'Dados Linha'!$A7,Linhas!$A$4:$A$1923,"&gt;=01/12/2022",Linhas!$A$4:$A$1923,"&lt;=31/12/2022")</f>
        <v>0</v>
      </c>
      <c r="Z7" s="64" t="e">
        <f t="shared" si="11"/>
        <v>#VALUE!</v>
      </c>
    </row>
    <row r="8" spans="1:40" x14ac:dyDescent="0.25">
      <c r="A8" s="117"/>
      <c r="B8" s="126"/>
      <c r="C8" s="121">
        <f>SUMIFS(Linhas!$D$4:$D$1923,Linhas!$E$4:$E$1923,'Dados Linha'!$A8,Linhas!$A$4:$A$1923,"&gt;=01/01/2022",Linhas!$A$4:$A$1923,"&lt;01/02/2022")</f>
        <v>0</v>
      </c>
      <c r="D8" s="21" t="e">
        <f t="shared" si="0"/>
        <v>#VALUE!</v>
      </c>
      <c r="E8" s="7">
        <f>SUMIFS(Linhas!$D$4:$D$1923,Linhas!$E$4:$E$1923,'Dados Linha'!$A8,Linhas!$A$4:$A$1923,"&gt;=01/02/2022",Linhas!$A$4:$A$1923,"&lt;01/03/2022")</f>
        <v>0</v>
      </c>
      <c r="F8" s="22" t="e">
        <f t="shared" si="1"/>
        <v>#VALUE!</v>
      </c>
      <c r="G8" s="8">
        <f>SUMIFS(Linhas!$D$4:$D$1923,Linhas!$E$4:$E$1923,'Dados Linha'!$A8,Linhas!$A$4:$A$1923,"&gt;=01/03/2022",Linhas!$A$4:$A$1923,"&lt;01/04/2022")</f>
        <v>0</v>
      </c>
      <c r="H8" s="23" t="e">
        <f t="shared" si="2"/>
        <v>#VALUE!</v>
      </c>
      <c r="I8" s="9">
        <f>SUMIFS(Linhas!$D$4:$D$1923,Linhas!$E$4:$E$1923,'Dados Linha'!$A8,Linhas!$A$4:$A$1923,"&gt;=01/04/2022",Linhas!$A$4:$A$1923,"&lt;01/05/2022")</f>
        <v>0</v>
      </c>
      <c r="J8" s="24" t="e">
        <f t="shared" si="3"/>
        <v>#VALUE!</v>
      </c>
      <c r="K8" s="10">
        <f>SUMIFS(Linhas!$D$4:$D$1923,Linhas!$E$4:$E$1923,'Dados Linha'!$A8,Linhas!$A$4:$A$1923,"&gt;=01/05/2022",Linhas!$A$4:$A$1923,"&lt;01/06/2022")</f>
        <v>0</v>
      </c>
      <c r="L8" s="25" t="e">
        <f t="shared" si="4"/>
        <v>#VALUE!</v>
      </c>
      <c r="M8" s="11">
        <f>SUMIFS(Linhas!$D$4:$D$1923,Linhas!$E$4:$E$1923,'Dados Linha'!$A8,Linhas!$A$4:$A$1923,"&gt;=01/06/2022",Linhas!$A$4:$A$1923,"&lt;01/07/2022")</f>
        <v>0</v>
      </c>
      <c r="N8" s="26" t="e">
        <f t="shared" si="5"/>
        <v>#VALUE!</v>
      </c>
      <c r="O8" s="12">
        <f>SUMIFS(Linhas!$D$4:$D$1923,Linhas!$E$4:$E$1923,'Dados Linha'!$A8,Linhas!$A$4:$A$1923,"&gt;=01/07/2022",Linhas!$A$4:$A$1923,"&lt;01/08/2022")</f>
        <v>0</v>
      </c>
      <c r="P8" s="27" t="e">
        <f t="shared" si="6"/>
        <v>#VALUE!</v>
      </c>
      <c r="Q8" s="13">
        <f>SUMIFS(Linhas!$D$4:$D$1923,Linhas!$E$4:$E$1923,'Dados Linha'!$A8,Linhas!$A$4:$A$1923,"&gt;=01/08/2022",Linhas!$A$4:$A$1923,"&lt;01/09/2022")</f>
        <v>0</v>
      </c>
      <c r="R8" s="28" t="e">
        <f t="shared" si="7"/>
        <v>#VALUE!</v>
      </c>
      <c r="S8" s="14">
        <f>SUMIFS(Linhas!$D$4:$D$1923,Linhas!$E$4:$E$1923,'Dados Linha'!$A8,Linhas!$A$4:$A$1923,"&gt;=01/09/2022",Linhas!$A$4:$A$1923,"&lt;01/10/2022")</f>
        <v>0</v>
      </c>
      <c r="T8" s="29" t="e">
        <f t="shared" si="8"/>
        <v>#VALUE!</v>
      </c>
      <c r="U8" s="15">
        <f>SUMIFS(Linhas!$D$4:$D$1923,Linhas!$E$4:$E$1923,'Dados Linha'!$A8,Linhas!$A$4:$A$1923,"&gt;=01/10/2022",Linhas!$A$4:$A$1923,"&lt;01/11/2022")</f>
        <v>0</v>
      </c>
      <c r="V8" s="30" t="e">
        <f t="shared" si="9"/>
        <v>#VALUE!</v>
      </c>
      <c r="W8" s="16">
        <f>SUMIFS(Linhas!$D$4:$D$1923,Linhas!$E$4:$E$1923,'Dados Linha'!$A8,Linhas!$A$4:$A$1923,"&gt;=01/11/2022",Linhas!$A$4:$A$1923,"&lt;01/12/2022")</f>
        <v>0</v>
      </c>
      <c r="X8" s="31" t="e">
        <f t="shared" si="10"/>
        <v>#VALUE!</v>
      </c>
      <c r="Y8" s="6">
        <f>SUMIFS(Linhas!$D$4:$D$1923,Linhas!$E$4:$E$1923,'Dados Linha'!$A8,Linhas!$A$4:$A$1923,"&gt;=01/12/2022",Linhas!$A$4:$A$1923,"&lt;=31/12/2022")</f>
        <v>0</v>
      </c>
      <c r="Z8" s="64" t="e">
        <f t="shared" si="11"/>
        <v>#VALUE!</v>
      </c>
    </row>
    <row r="9" spans="1:40" x14ac:dyDescent="0.25">
      <c r="A9" s="117"/>
      <c r="B9" s="126"/>
      <c r="C9" s="121">
        <f>SUMIFS(Linhas!$D$4:$D$1923,Linhas!$E$4:$E$1923,'Dados Linha'!$A9,Linhas!$A$4:$A$1923,"&gt;=01/01/2022",Linhas!$A$4:$A$1923,"&lt;01/02/2022")</f>
        <v>0</v>
      </c>
      <c r="D9" s="21" t="e">
        <f t="shared" si="0"/>
        <v>#VALUE!</v>
      </c>
      <c r="E9" s="7">
        <f>SUMIFS(Linhas!$D$4:$D$1923,Linhas!$E$4:$E$1923,'Dados Linha'!$A9,Linhas!$A$4:$A$1923,"&gt;=01/02/2022",Linhas!$A$4:$A$1923,"&lt;01/03/2022")</f>
        <v>0</v>
      </c>
      <c r="F9" s="22" t="e">
        <f t="shared" si="1"/>
        <v>#VALUE!</v>
      </c>
      <c r="G9" s="8">
        <f>SUMIFS(Linhas!$D$4:$D$1923,Linhas!$E$4:$E$1923,'Dados Linha'!$A9,Linhas!$A$4:$A$1923,"&gt;=01/03/2022",Linhas!$A$4:$A$1923,"&lt;01/04/2022")</f>
        <v>0</v>
      </c>
      <c r="H9" s="23" t="e">
        <f t="shared" si="2"/>
        <v>#VALUE!</v>
      </c>
      <c r="I9" s="9">
        <f>SUMIFS(Linhas!$D$4:$D$1923,Linhas!$E$4:$E$1923,'Dados Linha'!$A9,Linhas!$A$4:$A$1923,"&gt;=01/04/2022",Linhas!$A$4:$A$1923,"&lt;01/05/2022")</f>
        <v>0</v>
      </c>
      <c r="J9" s="24" t="e">
        <f t="shared" si="3"/>
        <v>#VALUE!</v>
      </c>
      <c r="K9" s="10">
        <f>SUMIFS(Linhas!$D$4:$D$1923,Linhas!$E$4:$E$1923,'Dados Linha'!$A9,Linhas!$A$4:$A$1923,"&gt;=01/05/2022",Linhas!$A$4:$A$1923,"&lt;01/06/2022")</f>
        <v>0</v>
      </c>
      <c r="L9" s="25" t="e">
        <f t="shared" si="4"/>
        <v>#VALUE!</v>
      </c>
      <c r="M9" s="11">
        <f>SUMIFS(Linhas!$D$4:$D$1923,Linhas!$E$4:$E$1923,'Dados Linha'!$A9,Linhas!$A$4:$A$1923,"&gt;=01/06/2022",Linhas!$A$4:$A$1923,"&lt;01/07/2022")</f>
        <v>0</v>
      </c>
      <c r="N9" s="26" t="e">
        <f t="shared" si="5"/>
        <v>#VALUE!</v>
      </c>
      <c r="O9" s="12">
        <f>SUMIFS(Linhas!$D$4:$D$1923,Linhas!$E$4:$E$1923,'Dados Linha'!$A9,Linhas!$A$4:$A$1923,"&gt;=01/07/2022",Linhas!$A$4:$A$1923,"&lt;01/08/2022")</f>
        <v>0</v>
      </c>
      <c r="P9" s="27" t="e">
        <f t="shared" si="6"/>
        <v>#VALUE!</v>
      </c>
      <c r="Q9" s="13">
        <f>SUMIFS(Linhas!$D$4:$D$1923,Linhas!$E$4:$E$1923,'Dados Linha'!$A9,Linhas!$A$4:$A$1923,"&gt;=01/08/2022",Linhas!$A$4:$A$1923,"&lt;01/09/2022")</f>
        <v>0</v>
      </c>
      <c r="R9" s="28" t="e">
        <f t="shared" si="7"/>
        <v>#VALUE!</v>
      </c>
      <c r="S9" s="14">
        <f>SUMIFS(Linhas!$D$4:$D$1923,Linhas!$E$4:$E$1923,'Dados Linha'!$A9,Linhas!$A$4:$A$1923,"&gt;=01/09/2022",Linhas!$A$4:$A$1923,"&lt;01/10/2022")</f>
        <v>0</v>
      </c>
      <c r="T9" s="29" t="e">
        <f t="shared" si="8"/>
        <v>#VALUE!</v>
      </c>
      <c r="U9" s="15">
        <f>SUMIFS(Linhas!$D$4:$D$1923,Linhas!$E$4:$E$1923,'Dados Linha'!$A9,Linhas!$A$4:$A$1923,"&gt;=01/10/2022",Linhas!$A$4:$A$1923,"&lt;01/11/2022")</f>
        <v>0</v>
      </c>
      <c r="V9" s="30" t="e">
        <f t="shared" si="9"/>
        <v>#VALUE!</v>
      </c>
      <c r="W9" s="16">
        <f>SUMIFS(Linhas!$D$4:$D$1923,Linhas!$E$4:$E$1923,'Dados Linha'!$A9,Linhas!$A$4:$A$1923,"&gt;=01/11/2022",Linhas!$A$4:$A$1923,"&lt;01/12/2022")</f>
        <v>0</v>
      </c>
      <c r="X9" s="31" t="e">
        <f t="shared" si="10"/>
        <v>#VALUE!</v>
      </c>
      <c r="Y9" s="6">
        <f>SUMIFS(Linhas!$D$4:$D$1923,Linhas!$E$4:$E$1923,'Dados Linha'!$A9,Linhas!$A$4:$A$1923,"&gt;=01/12/2022",Linhas!$A$4:$A$1923,"&lt;=31/12/2022")</f>
        <v>0</v>
      </c>
      <c r="Z9" s="64" t="e">
        <f t="shared" si="11"/>
        <v>#VALUE!</v>
      </c>
    </row>
    <row r="10" spans="1:40" x14ac:dyDescent="0.25">
      <c r="A10" s="117"/>
      <c r="B10" s="126"/>
      <c r="C10" s="121">
        <f>SUMIFS(Linhas!$D$4:$D$1923,Linhas!$E$4:$E$1923,'Dados Linha'!$A10,Linhas!$A$4:$A$1923,"&gt;=01/01/2022",Linhas!$A$4:$A$1923,"&lt;01/02/2022")</f>
        <v>0</v>
      </c>
      <c r="D10" s="21" t="e">
        <f t="shared" si="0"/>
        <v>#VALUE!</v>
      </c>
      <c r="E10" s="7">
        <f>SUMIFS(Linhas!$D$4:$D$1923,Linhas!$E$4:$E$1923,'Dados Linha'!$A10,Linhas!$A$4:$A$1923,"&gt;=01/02/2022",Linhas!$A$4:$A$1923,"&lt;01/03/2022")</f>
        <v>0</v>
      </c>
      <c r="F10" s="22" t="e">
        <f t="shared" si="1"/>
        <v>#VALUE!</v>
      </c>
      <c r="G10" s="8">
        <f>SUMIFS(Linhas!$D$4:$D$1923,Linhas!$E$4:$E$1923,'Dados Linha'!$A10,Linhas!$A$4:$A$1923,"&gt;=01/03/2022",Linhas!$A$4:$A$1923,"&lt;01/04/2022")</f>
        <v>0</v>
      </c>
      <c r="H10" s="23" t="e">
        <f t="shared" si="2"/>
        <v>#VALUE!</v>
      </c>
      <c r="I10" s="9">
        <f>SUMIFS(Linhas!$D$4:$D$1923,Linhas!$E$4:$E$1923,'Dados Linha'!$A10,Linhas!$A$4:$A$1923,"&gt;=01/04/2022",Linhas!$A$4:$A$1923,"&lt;01/05/2022")</f>
        <v>0</v>
      </c>
      <c r="J10" s="24" t="e">
        <f t="shared" si="3"/>
        <v>#VALUE!</v>
      </c>
      <c r="K10" s="10">
        <f>SUMIFS(Linhas!$D$4:$D$1923,Linhas!$E$4:$E$1923,'Dados Linha'!$A10,Linhas!$A$4:$A$1923,"&gt;=01/05/2022",Linhas!$A$4:$A$1923,"&lt;01/06/2022")</f>
        <v>0</v>
      </c>
      <c r="L10" s="25" t="e">
        <f t="shared" si="4"/>
        <v>#VALUE!</v>
      </c>
      <c r="M10" s="11">
        <f>SUMIFS(Linhas!$D$4:$D$1923,Linhas!$E$4:$E$1923,'Dados Linha'!$A10,Linhas!$A$4:$A$1923,"&gt;=01/06/2022",Linhas!$A$4:$A$1923,"&lt;01/07/2022")</f>
        <v>0</v>
      </c>
      <c r="N10" s="26" t="e">
        <f t="shared" si="5"/>
        <v>#VALUE!</v>
      </c>
      <c r="O10" s="12">
        <f>SUMIFS(Linhas!$D$4:$D$1923,Linhas!$E$4:$E$1923,'Dados Linha'!$A10,Linhas!$A$4:$A$1923,"&gt;=01/07/2022",Linhas!$A$4:$A$1923,"&lt;01/08/2022")</f>
        <v>0</v>
      </c>
      <c r="P10" s="27" t="e">
        <f t="shared" si="6"/>
        <v>#VALUE!</v>
      </c>
      <c r="Q10" s="13">
        <f>SUMIFS(Linhas!$D$4:$D$1923,Linhas!$E$4:$E$1923,'Dados Linha'!$A10,Linhas!$A$4:$A$1923,"&gt;=01/08/2022",Linhas!$A$4:$A$1923,"&lt;01/09/2022")</f>
        <v>0</v>
      </c>
      <c r="R10" s="28" t="e">
        <f t="shared" si="7"/>
        <v>#VALUE!</v>
      </c>
      <c r="S10" s="14">
        <f>SUMIFS(Linhas!$D$4:$D$1923,Linhas!$E$4:$E$1923,'Dados Linha'!$A10,Linhas!$A$4:$A$1923,"&gt;=01/09/2022",Linhas!$A$4:$A$1923,"&lt;01/10/2022")</f>
        <v>0</v>
      </c>
      <c r="T10" s="29" t="e">
        <f t="shared" si="8"/>
        <v>#VALUE!</v>
      </c>
      <c r="U10" s="15">
        <f>SUMIFS(Linhas!$D$4:$D$1923,Linhas!$E$4:$E$1923,'Dados Linha'!$A10,Linhas!$A$4:$A$1923,"&gt;=01/10/2022",Linhas!$A$4:$A$1923,"&lt;01/11/2022")</f>
        <v>0</v>
      </c>
      <c r="V10" s="30" t="e">
        <f t="shared" si="9"/>
        <v>#VALUE!</v>
      </c>
      <c r="W10" s="16">
        <f>SUMIFS(Linhas!$D$4:$D$1923,Linhas!$E$4:$E$1923,'Dados Linha'!$A10,Linhas!$A$4:$A$1923,"&gt;=01/11/2022",Linhas!$A$4:$A$1923,"&lt;01/12/2022")</f>
        <v>0</v>
      </c>
      <c r="X10" s="31" t="e">
        <f t="shared" si="10"/>
        <v>#VALUE!</v>
      </c>
      <c r="Y10" s="6">
        <f>SUMIFS(Linhas!$D$4:$D$1923,Linhas!$E$4:$E$1923,'Dados Linha'!$A10,Linhas!$A$4:$A$1923,"&gt;=01/12/2022",Linhas!$A$4:$A$1923,"&lt;=31/12/2022")</f>
        <v>0</v>
      </c>
      <c r="Z10" s="64" t="e">
        <f t="shared" si="11"/>
        <v>#VALUE!</v>
      </c>
    </row>
    <row r="11" spans="1:40" x14ac:dyDescent="0.25">
      <c r="A11" s="117"/>
      <c r="B11" s="126"/>
      <c r="C11" s="121">
        <f>SUMIFS(Linhas!$D$4:$D$1923,Linhas!$E$4:$E$1923,'Dados Linha'!$A11,Linhas!$A$4:$A$1923,"&gt;=01/01/2022",Linhas!$A$4:$A$1923,"&lt;01/02/2022")</f>
        <v>0</v>
      </c>
      <c r="D11" s="21" t="e">
        <f t="shared" si="0"/>
        <v>#VALUE!</v>
      </c>
      <c r="E11" s="7">
        <f>SUMIFS(Linhas!$D$4:$D$1923,Linhas!$E$4:$E$1923,'Dados Linha'!$A11,Linhas!$A$4:$A$1923,"&gt;=01/02/2022",Linhas!$A$4:$A$1923,"&lt;01/03/2022")</f>
        <v>0</v>
      </c>
      <c r="F11" s="22" t="e">
        <f t="shared" si="1"/>
        <v>#VALUE!</v>
      </c>
      <c r="G11" s="8">
        <f>SUMIFS(Linhas!$D$4:$D$1923,Linhas!$E$4:$E$1923,'Dados Linha'!$A11,Linhas!$A$4:$A$1923,"&gt;=01/03/2022",Linhas!$A$4:$A$1923,"&lt;01/04/2022")</f>
        <v>0</v>
      </c>
      <c r="H11" s="23" t="e">
        <f t="shared" si="2"/>
        <v>#VALUE!</v>
      </c>
      <c r="I11" s="9">
        <f>SUMIFS(Linhas!$D$4:$D$1923,Linhas!$E$4:$E$1923,'Dados Linha'!$A11,Linhas!$A$4:$A$1923,"&gt;=01/04/2022",Linhas!$A$4:$A$1923,"&lt;01/05/2022")</f>
        <v>0</v>
      </c>
      <c r="J11" s="24" t="e">
        <f t="shared" si="3"/>
        <v>#VALUE!</v>
      </c>
      <c r="K11" s="10">
        <f>SUMIFS(Linhas!$D$4:$D$1923,Linhas!$E$4:$E$1923,'Dados Linha'!$A11,Linhas!$A$4:$A$1923,"&gt;=01/05/2022",Linhas!$A$4:$A$1923,"&lt;01/06/2022")</f>
        <v>0</v>
      </c>
      <c r="L11" s="25" t="e">
        <f t="shared" si="4"/>
        <v>#VALUE!</v>
      </c>
      <c r="M11" s="11">
        <f>SUMIFS(Linhas!$D$4:$D$1923,Linhas!$E$4:$E$1923,'Dados Linha'!$A11,Linhas!$A$4:$A$1923,"&gt;=01/06/2022",Linhas!$A$4:$A$1923,"&lt;01/07/2022")</f>
        <v>0</v>
      </c>
      <c r="N11" s="26" t="e">
        <f t="shared" si="5"/>
        <v>#VALUE!</v>
      </c>
      <c r="O11" s="12">
        <f>SUMIFS(Linhas!$D$4:$D$1923,Linhas!$E$4:$E$1923,'Dados Linha'!$A11,Linhas!$A$4:$A$1923,"&gt;=01/07/2022",Linhas!$A$4:$A$1923,"&lt;01/08/2022")</f>
        <v>0</v>
      </c>
      <c r="P11" s="27" t="e">
        <f t="shared" si="6"/>
        <v>#VALUE!</v>
      </c>
      <c r="Q11" s="13">
        <f>SUMIFS(Linhas!$D$4:$D$1923,Linhas!$E$4:$E$1923,'Dados Linha'!$A11,Linhas!$A$4:$A$1923,"&gt;=01/08/2022",Linhas!$A$4:$A$1923,"&lt;01/09/2022")</f>
        <v>0</v>
      </c>
      <c r="R11" s="28" t="e">
        <f t="shared" si="7"/>
        <v>#VALUE!</v>
      </c>
      <c r="S11" s="14">
        <f>SUMIFS(Linhas!$D$4:$D$1923,Linhas!$E$4:$E$1923,'Dados Linha'!$A11,Linhas!$A$4:$A$1923,"&gt;=01/09/2022",Linhas!$A$4:$A$1923,"&lt;01/10/2022")</f>
        <v>0</v>
      </c>
      <c r="T11" s="29" t="e">
        <f t="shared" si="8"/>
        <v>#VALUE!</v>
      </c>
      <c r="U11" s="15">
        <f>SUMIFS(Linhas!$D$4:$D$1923,Linhas!$E$4:$E$1923,'Dados Linha'!$A11,Linhas!$A$4:$A$1923,"&gt;=01/10/2022",Linhas!$A$4:$A$1923,"&lt;01/11/2022")</f>
        <v>0</v>
      </c>
      <c r="V11" s="30" t="e">
        <f t="shared" si="9"/>
        <v>#VALUE!</v>
      </c>
      <c r="W11" s="16">
        <f>SUMIFS(Linhas!$D$4:$D$1923,Linhas!$E$4:$E$1923,'Dados Linha'!$A11,Linhas!$A$4:$A$1923,"&gt;=01/11/2022",Linhas!$A$4:$A$1923,"&lt;01/12/2022")</f>
        <v>0</v>
      </c>
      <c r="X11" s="31" t="e">
        <f t="shared" si="10"/>
        <v>#VALUE!</v>
      </c>
      <c r="Y11" s="6">
        <f>SUMIFS(Linhas!$D$4:$D$1923,Linhas!$E$4:$E$1923,'Dados Linha'!$A11,Linhas!$A$4:$A$1923,"&gt;=01/12/2022",Linhas!$A$4:$A$1923,"&lt;=31/12/2022")</f>
        <v>0</v>
      </c>
      <c r="Z11" s="64" t="e">
        <f t="shared" si="11"/>
        <v>#VALUE!</v>
      </c>
    </row>
    <row r="12" spans="1:40" x14ac:dyDescent="0.25">
      <c r="A12" s="117"/>
      <c r="B12" s="126"/>
      <c r="C12" s="121">
        <f>SUMIFS(Linhas!$D$4:$D$1923,Linhas!$E$4:$E$1923,'Dados Linha'!$A12,Linhas!$A$4:$A$1923,"&gt;=01/01/2022",Linhas!$A$4:$A$1923,"&lt;01/02/2022")</f>
        <v>0</v>
      </c>
      <c r="D12" s="21" t="e">
        <f t="shared" si="0"/>
        <v>#VALUE!</v>
      </c>
      <c r="E12" s="7">
        <f>SUMIFS(Linhas!$D$4:$D$1923,Linhas!$E$4:$E$1923,'Dados Linha'!$A12,Linhas!$A$4:$A$1923,"&gt;=01/02/2022",Linhas!$A$4:$A$1923,"&lt;01/03/2022")</f>
        <v>0</v>
      </c>
      <c r="F12" s="22" t="e">
        <f t="shared" si="1"/>
        <v>#VALUE!</v>
      </c>
      <c r="G12" s="8">
        <f>SUMIFS(Linhas!$D$4:$D$1923,Linhas!$E$4:$E$1923,'Dados Linha'!$A12,Linhas!$A$4:$A$1923,"&gt;=01/03/2022",Linhas!$A$4:$A$1923,"&lt;01/04/2022")</f>
        <v>0</v>
      </c>
      <c r="H12" s="23" t="e">
        <f t="shared" si="2"/>
        <v>#VALUE!</v>
      </c>
      <c r="I12" s="9">
        <f>SUMIFS(Linhas!$D$4:$D$1923,Linhas!$E$4:$E$1923,'Dados Linha'!$A12,Linhas!$A$4:$A$1923,"&gt;=01/04/2022",Linhas!$A$4:$A$1923,"&lt;01/05/2022")</f>
        <v>0</v>
      </c>
      <c r="J12" s="24" t="e">
        <f t="shared" si="3"/>
        <v>#VALUE!</v>
      </c>
      <c r="K12" s="10">
        <f>SUMIFS(Linhas!$D$4:$D$1923,Linhas!$E$4:$E$1923,'Dados Linha'!$A12,Linhas!$A$4:$A$1923,"&gt;=01/05/2022",Linhas!$A$4:$A$1923,"&lt;01/06/2022")</f>
        <v>0</v>
      </c>
      <c r="L12" s="25" t="e">
        <f t="shared" si="4"/>
        <v>#VALUE!</v>
      </c>
      <c r="M12" s="11">
        <f>SUMIFS(Linhas!$D$4:$D$1923,Linhas!$E$4:$E$1923,'Dados Linha'!$A12,Linhas!$A$4:$A$1923,"&gt;=01/06/2022",Linhas!$A$4:$A$1923,"&lt;01/07/2022")</f>
        <v>0</v>
      </c>
      <c r="N12" s="26" t="e">
        <f t="shared" si="5"/>
        <v>#VALUE!</v>
      </c>
      <c r="O12" s="12">
        <f>SUMIFS(Linhas!$D$4:$D$1923,Linhas!$E$4:$E$1923,'Dados Linha'!$A12,Linhas!$A$4:$A$1923,"&gt;=01/07/2022",Linhas!$A$4:$A$1923,"&lt;01/08/2022")</f>
        <v>0</v>
      </c>
      <c r="P12" s="27" t="e">
        <f t="shared" si="6"/>
        <v>#VALUE!</v>
      </c>
      <c r="Q12" s="13">
        <f>SUMIFS(Linhas!$D$4:$D$1923,Linhas!$E$4:$E$1923,'Dados Linha'!$A12,Linhas!$A$4:$A$1923,"&gt;=01/08/2022",Linhas!$A$4:$A$1923,"&lt;01/09/2022")</f>
        <v>0</v>
      </c>
      <c r="R12" s="28" t="e">
        <f t="shared" si="7"/>
        <v>#VALUE!</v>
      </c>
      <c r="S12" s="14">
        <f>SUMIFS(Linhas!$D$4:$D$1923,Linhas!$E$4:$E$1923,'Dados Linha'!$A12,Linhas!$A$4:$A$1923,"&gt;=01/09/2022",Linhas!$A$4:$A$1923,"&lt;01/10/2022")</f>
        <v>0</v>
      </c>
      <c r="T12" s="29" t="e">
        <f t="shared" si="8"/>
        <v>#VALUE!</v>
      </c>
      <c r="U12" s="15">
        <f>SUMIFS(Linhas!$D$4:$D$1923,Linhas!$E$4:$E$1923,'Dados Linha'!$A12,Linhas!$A$4:$A$1923,"&gt;=01/10/2022",Linhas!$A$4:$A$1923,"&lt;01/11/2022")</f>
        <v>0</v>
      </c>
      <c r="V12" s="30" t="e">
        <f t="shared" si="9"/>
        <v>#VALUE!</v>
      </c>
      <c r="W12" s="16">
        <f>SUMIFS(Linhas!$D$4:$D$1923,Linhas!$E$4:$E$1923,'Dados Linha'!$A12,Linhas!$A$4:$A$1923,"&gt;=01/11/2022",Linhas!$A$4:$A$1923,"&lt;01/12/2022")</f>
        <v>0</v>
      </c>
      <c r="X12" s="31" t="e">
        <f t="shared" si="10"/>
        <v>#VALUE!</v>
      </c>
      <c r="Y12" s="6">
        <f>SUMIFS(Linhas!$D$4:$D$1923,Linhas!$E$4:$E$1923,'Dados Linha'!$A12,Linhas!$A$4:$A$1923,"&gt;=01/12/2022",Linhas!$A$4:$A$1923,"&lt;=31/12/2022")</f>
        <v>0</v>
      </c>
      <c r="Z12" s="64" t="e">
        <f t="shared" si="11"/>
        <v>#VALUE!</v>
      </c>
    </row>
    <row r="13" spans="1:40" x14ac:dyDescent="0.25">
      <c r="A13" s="117"/>
      <c r="B13" s="126"/>
      <c r="C13" s="121">
        <f>SUMIFS(Linhas!$D$4:$D$1923,Linhas!$E$4:$E$1923,'Dados Linha'!$A13,Linhas!$A$4:$A$1923,"&gt;=01/01/2022",Linhas!$A$4:$A$1923,"&lt;01/02/2022")</f>
        <v>0</v>
      </c>
      <c r="D13" s="21" t="e">
        <f t="shared" si="0"/>
        <v>#VALUE!</v>
      </c>
      <c r="E13" s="7">
        <f>SUMIFS(Linhas!$D$4:$D$1923,Linhas!$E$4:$E$1923,'Dados Linha'!$A13,Linhas!$A$4:$A$1923,"&gt;=01/02/2022",Linhas!$A$4:$A$1923,"&lt;01/03/2022")</f>
        <v>0</v>
      </c>
      <c r="F13" s="22" t="e">
        <f t="shared" si="1"/>
        <v>#VALUE!</v>
      </c>
      <c r="G13" s="8">
        <f>SUMIFS(Linhas!$D$4:$D$1923,Linhas!$E$4:$E$1923,'Dados Linha'!$A13,Linhas!$A$4:$A$1923,"&gt;=01/03/2022",Linhas!$A$4:$A$1923,"&lt;01/04/2022")</f>
        <v>0</v>
      </c>
      <c r="H13" s="23" t="e">
        <f t="shared" si="2"/>
        <v>#VALUE!</v>
      </c>
      <c r="I13" s="9">
        <f>SUMIFS(Linhas!$D$4:$D$1923,Linhas!$E$4:$E$1923,'Dados Linha'!$A13,Linhas!$A$4:$A$1923,"&gt;=01/04/2022",Linhas!$A$4:$A$1923,"&lt;01/05/2022")</f>
        <v>0</v>
      </c>
      <c r="J13" s="24" t="e">
        <f t="shared" si="3"/>
        <v>#VALUE!</v>
      </c>
      <c r="K13" s="10">
        <f>SUMIFS(Linhas!$D$4:$D$1923,Linhas!$E$4:$E$1923,'Dados Linha'!$A13,Linhas!$A$4:$A$1923,"&gt;=01/05/2022",Linhas!$A$4:$A$1923,"&lt;01/06/2022")</f>
        <v>0</v>
      </c>
      <c r="L13" s="25" t="e">
        <f t="shared" si="4"/>
        <v>#VALUE!</v>
      </c>
      <c r="M13" s="11">
        <f>SUMIFS(Linhas!$D$4:$D$1923,Linhas!$E$4:$E$1923,'Dados Linha'!$A13,Linhas!$A$4:$A$1923,"&gt;=01/06/2022",Linhas!$A$4:$A$1923,"&lt;01/07/2022")</f>
        <v>0</v>
      </c>
      <c r="N13" s="26" t="e">
        <f t="shared" si="5"/>
        <v>#VALUE!</v>
      </c>
      <c r="O13" s="12">
        <f>SUMIFS(Linhas!$D$4:$D$1923,Linhas!$E$4:$E$1923,'Dados Linha'!$A13,Linhas!$A$4:$A$1923,"&gt;=01/07/2022",Linhas!$A$4:$A$1923,"&lt;01/08/2022")</f>
        <v>0</v>
      </c>
      <c r="P13" s="27" t="e">
        <f t="shared" si="6"/>
        <v>#VALUE!</v>
      </c>
      <c r="Q13" s="13">
        <f>SUMIFS(Linhas!$D$4:$D$1923,Linhas!$E$4:$E$1923,'Dados Linha'!$A13,Linhas!$A$4:$A$1923,"&gt;=01/08/2022",Linhas!$A$4:$A$1923,"&lt;01/09/2022")</f>
        <v>0</v>
      </c>
      <c r="R13" s="28" t="e">
        <f t="shared" si="7"/>
        <v>#VALUE!</v>
      </c>
      <c r="S13" s="14">
        <f>SUMIFS(Linhas!$D$4:$D$1923,Linhas!$E$4:$E$1923,'Dados Linha'!$A13,Linhas!$A$4:$A$1923,"&gt;=01/09/2022",Linhas!$A$4:$A$1923,"&lt;01/10/2022")</f>
        <v>0</v>
      </c>
      <c r="T13" s="29" t="e">
        <f t="shared" si="8"/>
        <v>#VALUE!</v>
      </c>
      <c r="U13" s="15">
        <f>SUMIFS(Linhas!$D$4:$D$1923,Linhas!$E$4:$E$1923,'Dados Linha'!$A13,Linhas!$A$4:$A$1923,"&gt;=01/10/2022",Linhas!$A$4:$A$1923,"&lt;01/11/2022")</f>
        <v>0</v>
      </c>
      <c r="V13" s="30" t="e">
        <f t="shared" si="9"/>
        <v>#VALUE!</v>
      </c>
      <c r="W13" s="16">
        <f>SUMIFS(Linhas!$D$4:$D$1923,Linhas!$E$4:$E$1923,'Dados Linha'!$A13,Linhas!$A$4:$A$1923,"&gt;=01/11/2022",Linhas!$A$4:$A$1923,"&lt;01/12/2022")</f>
        <v>0</v>
      </c>
      <c r="X13" s="31" t="e">
        <f t="shared" si="10"/>
        <v>#VALUE!</v>
      </c>
      <c r="Y13" s="6">
        <f>SUMIFS(Linhas!$D$4:$D$1923,Linhas!$E$4:$E$1923,'Dados Linha'!$A13,Linhas!$A$4:$A$1923,"&gt;=01/12/2022",Linhas!$A$4:$A$1923,"&lt;=31/12/2022")</f>
        <v>0</v>
      </c>
      <c r="Z13" s="64" t="e">
        <f t="shared" si="11"/>
        <v>#VALUE!</v>
      </c>
    </row>
    <row r="14" spans="1:40" x14ac:dyDescent="0.25">
      <c r="A14" s="117"/>
      <c r="B14" s="126"/>
      <c r="C14" s="121">
        <f>SUMIFS(Linhas!$D$4:$D$1923,Linhas!$E$4:$E$1923,'Dados Linha'!$A14,Linhas!$A$4:$A$1923,"&gt;=01/01/2022",Linhas!$A$4:$A$1923,"&lt;01/02/2022")</f>
        <v>0</v>
      </c>
      <c r="D14" s="21" t="e">
        <f t="shared" si="0"/>
        <v>#VALUE!</v>
      </c>
      <c r="E14" s="7">
        <f>SUMIFS(Linhas!$D$4:$D$1923,Linhas!$E$4:$E$1923,'Dados Linha'!$A14,Linhas!$A$4:$A$1923,"&gt;=01/02/2022",Linhas!$A$4:$A$1923,"&lt;01/03/2022")</f>
        <v>0</v>
      </c>
      <c r="F14" s="22" t="e">
        <f t="shared" si="1"/>
        <v>#VALUE!</v>
      </c>
      <c r="G14" s="8">
        <f>SUMIFS(Linhas!$D$4:$D$1923,Linhas!$E$4:$E$1923,'Dados Linha'!$A14,Linhas!$A$4:$A$1923,"&gt;=01/03/2022",Linhas!$A$4:$A$1923,"&lt;01/04/2022")</f>
        <v>0</v>
      </c>
      <c r="H14" s="23" t="e">
        <f t="shared" si="2"/>
        <v>#VALUE!</v>
      </c>
      <c r="I14" s="9">
        <f>SUMIFS(Linhas!$D$4:$D$1923,Linhas!$E$4:$E$1923,'Dados Linha'!$A14,Linhas!$A$4:$A$1923,"&gt;=01/04/2022",Linhas!$A$4:$A$1923,"&lt;01/05/2022")</f>
        <v>0</v>
      </c>
      <c r="J14" s="24" t="e">
        <f t="shared" si="3"/>
        <v>#VALUE!</v>
      </c>
      <c r="K14" s="10">
        <f>SUMIFS(Linhas!$D$4:$D$1923,Linhas!$E$4:$E$1923,'Dados Linha'!$A14,Linhas!$A$4:$A$1923,"&gt;=01/05/2022",Linhas!$A$4:$A$1923,"&lt;01/06/2022")</f>
        <v>0</v>
      </c>
      <c r="L14" s="25" t="e">
        <f t="shared" si="4"/>
        <v>#VALUE!</v>
      </c>
      <c r="M14" s="11">
        <f>SUMIFS(Linhas!$D$4:$D$1923,Linhas!$E$4:$E$1923,'Dados Linha'!$A14,Linhas!$A$4:$A$1923,"&gt;=01/06/2022",Linhas!$A$4:$A$1923,"&lt;01/07/2022")</f>
        <v>0</v>
      </c>
      <c r="N14" s="26" t="e">
        <f t="shared" si="5"/>
        <v>#VALUE!</v>
      </c>
      <c r="O14" s="12">
        <f>SUMIFS(Linhas!$D$4:$D$1923,Linhas!$E$4:$E$1923,'Dados Linha'!$A14,Linhas!$A$4:$A$1923,"&gt;=01/07/2022",Linhas!$A$4:$A$1923,"&lt;01/08/2022")</f>
        <v>0</v>
      </c>
      <c r="P14" s="27" t="e">
        <f t="shared" si="6"/>
        <v>#VALUE!</v>
      </c>
      <c r="Q14" s="13">
        <f>SUMIFS(Linhas!$D$4:$D$1923,Linhas!$E$4:$E$1923,'Dados Linha'!$A14,Linhas!$A$4:$A$1923,"&gt;=01/08/2022",Linhas!$A$4:$A$1923,"&lt;01/09/2022")</f>
        <v>0</v>
      </c>
      <c r="R14" s="28" t="e">
        <f t="shared" si="7"/>
        <v>#VALUE!</v>
      </c>
      <c r="S14" s="14">
        <f>SUMIFS(Linhas!$D$4:$D$1923,Linhas!$E$4:$E$1923,'Dados Linha'!$A14,Linhas!$A$4:$A$1923,"&gt;=01/09/2022",Linhas!$A$4:$A$1923,"&lt;01/10/2022")</f>
        <v>0</v>
      </c>
      <c r="T14" s="29" t="e">
        <f t="shared" si="8"/>
        <v>#VALUE!</v>
      </c>
      <c r="U14" s="15">
        <f>SUMIFS(Linhas!$D$4:$D$1923,Linhas!$E$4:$E$1923,'Dados Linha'!$A14,Linhas!$A$4:$A$1923,"&gt;=01/10/2022",Linhas!$A$4:$A$1923,"&lt;01/11/2022")</f>
        <v>0</v>
      </c>
      <c r="V14" s="30" t="e">
        <f t="shared" si="9"/>
        <v>#VALUE!</v>
      </c>
      <c r="W14" s="16">
        <f>SUMIFS(Linhas!$D$4:$D$1923,Linhas!$E$4:$E$1923,'Dados Linha'!$A14,Linhas!$A$4:$A$1923,"&gt;=01/11/2022",Linhas!$A$4:$A$1923,"&lt;01/12/2022")</f>
        <v>0</v>
      </c>
      <c r="X14" s="31" t="e">
        <f t="shared" si="10"/>
        <v>#VALUE!</v>
      </c>
      <c r="Y14" s="6">
        <f>SUMIFS(Linhas!$D$4:$D$1923,Linhas!$E$4:$E$1923,'Dados Linha'!$A14,Linhas!$A$4:$A$1923,"&gt;=01/12/2022",Linhas!$A$4:$A$1923,"&lt;=31/12/2022")</f>
        <v>0</v>
      </c>
      <c r="Z14" s="64" t="e">
        <f t="shared" si="11"/>
        <v>#VALUE!</v>
      </c>
    </row>
    <row r="15" spans="1:40" x14ac:dyDescent="0.25">
      <c r="A15" s="117"/>
      <c r="B15" s="126"/>
      <c r="C15" s="121">
        <f>SUMIFS(Linhas!$D$4:$D$1923,Linhas!$E$4:$E$1923,'Dados Linha'!$A15,Linhas!$A$4:$A$1923,"&gt;=01/01/2022",Linhas!$A$4:$A$1923,"&lt;01/02/2022")</f>
        <v>0</v>
      </c>
      <c r="D15" s="21" t="e">
        <f t="shared" si="0"/>
        <v>#VALUE!</v>
      </c>
      <c r="E15" s="7">
        <f>SUMIFS(Linhas!$D$4:$D$1923,Linhas!$E$4:$E$1923,'Dados Linha'!$A15,Linhas!$A$4:$A$1923,"&gt;=01/02/2022",Linhas!$A$4:$A$1923,"&lt;01/03/2022")</f>
        <v>0</v>
      </c>
      <c r="F15" s="22" t="e">
        <f t="shared" si="1"/>
        <v>#VALUE!</v>
      </c>
      <c r="G15" s="8">
        <f>SUMIFS(Linhas!$D$4:$D$1923,Linhas!$E$4:$E$1923,'Dados Linha'!$A15,Linhas!$A$4:$A$1923,"&gt;=01/03/2022",Linhas!$A$4:$A$1923,"&lt;01/04/2022")</f>
        <v>0</v>
      </c>
      <c r="H15" s="23" t="e">
        <f t="shared" si="2"/>
        <v>#VALUE!</v>
      </c>
      <c r="I15" s="9">
        <f>SUMIFS(Linhas!$D$4:$D$1923,Linhas!$E$4:$E$1923,'Dados Linha'!$A15,Linhas!$A$4:$A$1923,"&gt;=01/04/2022",Linhas!$A$4:$A$1923,"&lt;01/05/2022")</f>
        <v>0</v>
      </c>
      <c r="J15" s="24" t="e">
        <f t="shared" si="3"/>
        <v>#VALUE!</v>
      </c>
      <c r="K15" s="10">
        <f>SUMIFS(Linhas!$D$4:$D$1923,Linhas!$E$4:$E$1923,'Dados Linha'!$A15,Linhas!$A$4:$A$1923,"&gt;=01/05/2022",Linhas!$A$4:$A$1923,"&lt;01/06/2022")</f>
        <v>0</v>
      </c>
      <c r="L15" s="25" t="e">
        <f t="shared" si="4"/>
        <v>#VALUE!</v>
      </c>
      <c r="M15" s="11">
        <f>SUMIFS(Linhas!$D$4:$D$1923,Linhas!$E$4:$E$1923,'Dados Linha'!$A15,Linhas!$A$4:$A$1923,"&gt;=01/06/2022",Linhas!$A$4:$A$1923,"&lt;01/07/2022")</f>
        <v>0</v>
      </c>
      <c r="N15" s="26" t="e">
        <f t="shared" si="5"/>
        <v>#VALUE!</v>
      </c>
      <c r="O15" s="12">
        <f>SUMIFS(Linhas!$D$4:$D$1923,Linhas!$E$4:$E$1923,'Dados Linha'!$A15,Linhas!$A$4:$A$1923,"&gt;=01/07/2022",Linhas!$A$4:$A$1923,"&lt;01/08/2022")</f>
        <v>0</v>
      </c>
      <c r="P15" s="27" t="e">
        <f t="shared" si="6"/>
        <v>#VALUE!</v>
      </c>
      <c r="Q15" s="13">
        <f>SUMIFS(Linhas!$D$4:$D$1923,Linhas!$E$4:$E$1923,'Dados Linha'!$A15,Linhas!$A$4:$A$1923,"&gt;=01/08/2022",Linhas!$A$4:$A$1923,"&lt;01/09/2022")</f>
        <v>0</v>
      </c>
      <c r="R15" s="28" t="e">
        <f t="shared" si="7"/>
        <v>#VALUE!</v>
      </c>
      <c r="S15" s="14">
        <f>SUMIFS(Linhas!$D$4:$D$1923,Linhas!$E$4:$E$1923,'Dados Linha'!$A15,Linhas!$A$4:$A$1923,"&gt;=01/09/2022",Linhas!$A$4:$A$1923,"&lt;01/10/2022")</f>
        <v>0</v>
      </c>
      <c r="T15" s="29" t="e">
        <f t="shared" si="8"/>
        <v>#VALUE!</v>
      </c>
      <c r="U15" s="15">
        <f>SUMIFS(Linhas!$D$4:$D$1923,Linhas!$E$4:$E$1923,'Dados Linha'!$A15,Linhas!$A$4:$A$1923,"&gt;=01/10/2022",Linhas!$A$4:$A$1923,"&lt;01/11/2022")</f>
        <v>0</v>
      </c>
      <c r="V15" s="30" t="e">
        <f t="shared" si="9"/>
        <v>#VALUE!</v>
      </c>
      <c r="W15" s="16">
        <f>SUMIFS(Linhas!$D$4:$D$1923,Linhas!$E$4:$E$1923,'Dados Linha'!$A15,Linhas!$A$4:$A$1923,"&gt;=01/11/2022",Linhas!$A$4:$A$1923,"&lt;01/12/2022")</f>
        <v>0</v>
      </c>
      <c r="X15" s="31" t="e">
        <f t="shared" si="10"/>
        <v>#VALUE!</v>
      </c>
      <c r="Y15" s="6">
        <f>SUMIFS(Linhas!$D$4:$D$1923,Linhas!$E$4:$E$1923,'Dados Linha'!$A15,Linhas!$A$4:$A$1923,"&gt;=01/12/2022",Linhas!$A$4:$A$1923,"&lt;=31/12/2022")</f>
        <v>0</v>
      </c>
      <c r="Z15" s="64" t="e">
        <f t="shared" si="11"/>
        <v>#VALUE!</v>
      </c>
    </row>
    <row r="16" spans="1:40" x14ac:dyDescent="0.25">
      <c r="A16" s="117"/>
      <c r="B16" s="126"/>
      <c r="C16" s="121">
        <f>SUMIFS(Linhas!$D$4:$D$1923,Linhas!$E$4:$E$1923,'Dados Linha'!$A16,Linhas!$A$4:$A$1923,"&gt;=01/01/2022",Linhas!$A$4:$A$1923,"&lt;01/02/2022")</f>
        <v>0</v>
      </c>
      <c r="D16" s="21" t="e">
        <f t="shared" si="0"/>
        <v>#VALUE!</v>
      </c>
      <c r="E16" s="7">
        <f>SUMIFS(Linhas!$D$4:$D$1923,Linhas!$E$4:$E$1923,'Dados Linha'!$A16,Linhas!$A$4:$A$1923,"&gt;=01/02/2022",Linhas!$A$4:$A$1923,"&lt;01/03/2022")</f>
        <v>0</v>
      </c>
      <c r="F16" s="22" t="e">
        <f t="shared" si="1"/>
        <v>#VALUE!</v>
      </c>
      <c r="G16" s="8">
        <f>SUMIFS(Linhas!$D$4:$D$1923,Linhas!$E$4:$E$1923,'Dados Linha'!$A16,Linhas!$A$4:$A$1923,"&gt;=01/03/2022",Linhas!$A$4:$A$1923,"&lt;01/04/2022")</f>
        <v>0</v>
      </c>
      <c r="H16" s="23" t="e">
        <f t="shared" si="2"/>
        <v>#VALUE!</v>
      </c>
      <c r="I16" s="9">
        <f>SUMIFS(Linhas!$D$4:$D$1923,Linhas!$E$4:$E$1923,'Dados Linha'!$A16,Linhas!$A$4:$A$1923,"&gt;=01/04/2022",Linhas!$A$4:$A$1923,"&lt;01/05/2022")</f>
        <v>0</v>
      </c>
      <c r="J16" s="24" t="e">
        <f t="shared" si="3"/>
        <v>#VALUE!</v>
      </c>
      <c r="K16" s="10">
        <f>SUMIFS(Linhas!$D$4:$D$1923,Linhas!$E$4:$E$1923,'Dados Linha'!$A16,Linhas!$A$4:$A$1923,"&gt;=01/05/2022",Linhas!$A$4:$A$1923,"&lt;01/06/2022")</f>
        <v>0</v>
      </c>
      <c r="L16" s="25" t="e">
        <f t="shared" si="4"/>
        <v>#VALUE!</v>
      </c>
      <c r="M16" s="11">
        <f>SUMIFS(Linhas!$D$4:$D$1923,Linhas!$E$4:$E$1923,'Dados Linha'!$A16,Linhas!$A$4:$A$1923,"&gt;=01/06/2022",Linhas!$A$4:$A$1923,"&lt;01/07/2022")</f>
        <v>0</v>
      </c>
      <c r="N16" s="26" t="e">
        <f t="shared" si="5"/>
        <v>#VALUE!</v>
      </c>
      <c r="O16" s="12">
        <f>SUMIFS(Linhas!$D$4:$D$1923,Linhas!$E$4:$E$1923,'Dados Linha'!$A16,Linhas!$A$4:$A$1923,"&gt;=01/07/2022",Linhas!$A$4:$A$1923,"&lt;01/08/2022")</f>
        <v>0</v>
      </c>
      <c r="P16" s="27" t="e">
        <f t="shared" si="6"/>
        <v>#VALUE!</v>
      </c>
      <c r="Q16" s="13">
        <f>SUMIFS(Linhas!$D$4:$D$1923,Linhas!$E$4:$E$1923,'Dados Linha'!$A16,Linhas!$A$4:$A$1923,"&gt;=01/08/2022",Linhas!$A$4:$A$1923,"&lt;01/09/2022")</f>
        <v>0</v>
      </c>
      <c r="R16" s="28" t="e">
        <f t="shared" si="7"/>
        <v>#VALUE!</v>
      </c>
      <c r="S16" s="14">
        <f>SUMIFS(Linhas!$D$4:$D$1923,Linhas!$E$4:$E$1923,'Dados Linha'!$A16,Linhas!$A$4:$A$1923,"&gt;=01/09/2022",Linhas!$A$4:$A$1923,"&lt;01/10/2022")</f>
        <v>0</v>
      </c>
      <c r="T16" s="29" t="e">
        <f t="shared" si="8"/>
        <v>#VALUE!</v>
      </c>
      <c r="U16" s="15">
        <f>SUMIFS(Linhas!$D$4:$D$1923,Linhas!$E$4:$E$1923,'Dados Linha'!$A16,Linhas!$A$4:$A$1923,"&gt;=01/10/2022",Linhas!$A$4:$A$1923,"&lt;01/11/2022")</f>
        <v>0</v>
      </c>
      <c r="V16" s="30" t="e">
        <f t="shared" si="9"/>
        <v>#VALUE!</v>
      </c>
      <c r="W16" s="16">
        <f>SUMIFS(Linhas!$D$4:$D$1923,Linhas!$E$4:$E$1923,'Dados Linha'!$A16,Linhas!$A$4:$A$1923,"&gt;=01/11/2022",Linhas!$A$4:$A$1923,"&lt;01/12/2022")</f>
        <v>0</v>
      </c>
      <c r="X16" s="31" t="e">
        <f t="shared" si="10"/>
        <v>#VALUE!</v>
      </c>
      <c r="Y16" s="6">
        <f>SUMIFS(Linhas!$D$4:$D$1923,Linhas!$E$4:$E$1923,'Dados Linha'!$A16,Linhas!$A$4:$A$1923,"&gt;=01/12/2022",Linhas!$A$4:$A$1923,"&lt;=31/12/2022")</f>
        <v>0</v>
      </c>
      <c r="Z16" s="64" t="e">
        <f t="shared" si="11"/>
        <v>#VALUE!</v>
      </c>
    </row>
    <row r="17" spans="1:26" x14ac:dyDescent="0.25">
      <c r="A17" s="117"/>
      <c r="B17" s="126"/>
      <c r="C17" s="121">
        <f>SUMIFS(Linhas!$D$4:$D$1923,Linhas!$E$4:$E$1923,'Dados Linha'!$A17,Linhas!$A$4:$A$1923,"&gt;=01/01/2022",Linhas!$A$4:$A$1923,"&lt;01/02/2022")</f>
        <v>0</v>
      </c>
      <c r="D17" s="21" t="e">
        <f t="shared" si="0"/>
        <v>#VALUE!</v>
      </c>
      <c r="E17" s="7">
        <f>SUMIFS(Linhas!$D$4:$D$1923,Linhas!$E$4:$E$1923,'Dados Linha'!$A17,Linhas!$A$4:$A$1923,"&gt;=01/02/2022",Linhas!$A$4:$A$1923,"&lt;01/03/2022")</f>
        <v>0</v>
      </c>
      <c r="F17" s="22" t="e">
        <f t="shared" si="1"/>
        <v>#VALUE!</v>
      </c>
      <c r="G17" s="8">
        <f>SUMIFS(Linhas!$D$4:$D$1923,Linhas!$E$4:$E$1923,'Dados Linha'!$A17,Linhas!$A$4:$A$1923,"&gt;=01/03/2022",Linhas!$A$4:$A$1923,"&lt;01/04/2022")</f>
        <v>0</v>
      </c>
      <c r="H17" s="23" t="e">
        <f t="shared" si="2"/>
        <v>#VALUE!</v>
      </c>
      <c r="I17" s="9">
        <f>SUMIFS(Linhas!$D$4:$D$1923,Linhas!$E$4:$E$1923,'Dados Linha'!$A17,Linhas!$A$4:$A$1923,"&gt;=01/04/2022",Linhas!$A$4:$A$1923,"&lt;01/05/2022")</f>
        <v>0</v>
      </c>
      <c r="J17" s="24" t="e">
        <f t="shared" si="3"/>
        <v>#VALUE!</v>
      </c>
      <c r="K17" s="10">
        <f>SUMIFS(Linhas!$D$4:$D$1923,Linhas!$E$4:$E$1923,'Dados Linha'!$A17,Linhas!$A$4:$A$1923,"&gt;=01/05/2022",Linhas!$A$4:$A$1923,"&lt;01/06/2022")</f>
        <v>0</v>
      </c>
      <c r="L17" s="25" t="e">
        <f t="shared" si="4"/>
        <v>#VALUE!</v>
      </c>
      <c r="M17" s="11">
        <f>SUMIFS(Linhas!$D$4:$D$1923,Linhas!$E$4:$E$1923,'Dados Linha'!$A17,Linhas!$A$4:$A$1923,"&gt;=01/06/2022",Linhas!$A$4:$A$1923,"&lt;01/07/2022")</f>
        <v>0</v>
      </c>
      <c r="N17" s="26" t="e">
        <f t="shared" si="5"/>
        <v>#VALUE!</v>
      </c>
      <c r="O17" s="12">
        <f>SUMIFS(Linhas!$D$4:$D$1923,Linhas!$E$4:$E$1923,'Dados Linha'!$A17,Linhas!$A$4:$A$1923,"&gt;=01/07/2022",Linhas!$A$4:$A$1923,"&lt;01/08/2022")</f>
        <v>0</v>
      </c>
      <c r="P17" s="27" t="e">
        <f t="shared" si="6"/>
        <v>#VALUE!</v>
      </c>
      <c r="Q17" s="13">
        <f>SUMIFS(Linhas!$D$4:$D$1923,Linhas!$E$4:$E$1923,'Dados Linha'!$A17,Linhas!$A$4:$A$1923,"&gt;=01/08/2022",Linhas!$A$4:$A$1923,"&lt;01/09/2022")</f>
        <v>0</v>
      </c>
      <c r="R17" s="28" t="e">
        <f t="shared" si="7"/>
        <v>#VALUE!</v>
      </c>
      <c r="S17" s="14">
        <f>SUMIFS(Linhas!$D$4:$D$1923,Linhas!$E$4:$E$1923,'Dados Linha'!$A17,Linhas!$A$4:$A$1923,"&gt;=01/09/2022",Linhas!$A$4:$A$1923,"&lt;01/10/2022")</f>
        <v>0</v>
      </c>
      <c r="T17" s="29" t="e">
        <f t="shared" si="8"/>
        <v>#VALUE!</v>
      </c>
      <c r="U17" s="15">
        <f>SUMIFS(Linhas!$D$4:$D$1923,Linhas!$E$4:$E$1923,'Dados Linha'!$A17,Linhas!$A$4:$A$1923,"&gt;=01/10/2022",Linhas!$A$4:$A$1923,"&lt;01/11/2022")</f>
        <v>0</v>
      </c>
      <c r="V17" s="30" t="e">
        <f t="shared" si="9"/>
        <v>#VALUE!</v>
      </c>
      <c r="W17" s="16">
        <f>SUMIFS(Linhas!$D$4:$D$1923,Linhas!$E$4:$E$1923,'Dados Linha'!$A17,Linhas!$A$4:$A$1923,"&gt;=01/11/2022",Linhas!$A$4:$A$1923,"&lt;01/12/2022")</f>
        <v>0</v>
      </c>
      <c r="X17" s="31" t="e">
        <f t="shared" si="10"/>
        <v>#VALUE!</v>
      </c>
      <c r="Y17" s="6">
        <f>SUMIFS(Linhas!$D$4:$D$1923,Linhas!$E$4:$E$1923,'Dados Linha'!$A17,Linhas!$A$4:$A$1923,"&gt;=01/12/2022",Linhas!$A$4:$A$1923,"&lt;=31/12/2022")</f>
        <v>0</v>
      </c>
      <c r="Z17" s="64" t="e">
        <f t="shared" si="11"/>
        <v>#VALUE!</v>
      </c>
    </row>
    <row r="18" spans="1:26" x14ac:dyDescent="0.25">
      <c r="A18" s="117"/>
      <c r="B18" s="126"/>
      <c r="C18" s="121">
        <f>SUMIFS(Linhas!$D$4:$D$1923,Linhas!$E$4:$E$1923,'Dados Linha'!$A18,Linhas!$A$4:$A$1923,"&gt;=01/01/2022",Linhas!$A$4:$A$1923,"&lt;01/02/2022")</f>
        <v>0</v>
      </c>
      <c r="D18" s="21" t="e">
        <f t="shared" si="0"/>
        <v>#VALUE!</v>
      </c>
      <c r="E18" s="7">
        <f>SUMIFS(Linhas!$D$4:$D$1923,Linhas!$E$4:$E$1923,'Dados Linha'!$A18,Linhas!$A$4:$A$1923,"&gt;=01/02/2022",Linhas!$A$4:$A$1923,"&lt;01/03/2022")</f>
        <v>0</v>
      </c>
      <c r="F18" s="22" t="e">
        <f t="shared" si="1"/>
        <v>#VALUE!</v>
      </c>
      <c r="G18" s="8">
        <f>SUMIFS(Linhas!$D$4:$D$1923,Linhas!$E$4:$E$1923,'Dados Linha'!$A18,Linhas!$A$4:$A$1923,"&gt;=01/03/2022",Linhas!$A$4:$A$1923,"&lt;01/04/2022")</f>
        <v>0</v>
      </c>
      <c r="H18" s="23" t="e">
        <f t="shared" si="2"/>
        <v>#VALUE!</v>
      </c>
      <c r="I18" s="9">
        <f>SUMIFS(Linhas!$D$4:$D$1923,Linhas!$E$4:$E$1923,'Dados Linha'!$A18,Linhas!$A$4:$A$1923,"&gt;=01/04/2022",Linhas!$A$4:$A$1923,"&lt;01/05/2022")</f>
        <v>0</v>
      </c>
      <c r="J18" s="24" t="e">
        <f t="shared" si="3"/>
        <v>#VALUE!</v>
      </c>
      <c r="K18" s="10">
        <f>SUMIFS(Linhas!$D$4:$D$1923,Linhas!$E$4:$E$1923,'Dados Linha'!$A18,Linhas!$A$4:$A$1923,"&gt;=01/05/2022",Linhas!$A$4:$A$1923,"&lt;01/06/2022")</f>
        <v>0</v>
      </c>
      <c r="L18" s="25" t="e">
        <f t="shared" si="4"/>
        <v>#VALUE!</v>
      </c>
      <c r="M18" s="11">
        <f>SUMIFS(Linhas!$D$4:$D$1923,Linhas!$E$4:$E$1923,'Dados Linha'!$A18,Linhas!$A$4:$A$1923,"&gt;=01/06/2022",Linhas!$A$4:$A$1923,"&lt;01/07/2022")</f>
        <v>0</v>
      </c>
      <c r="N18" s="26" t="e">
        <f t="shared" si="5"/>
        <v>#VALUE!</v>
      </c>
      <c r="O18" s="12">
        <f>SUMIFS(Linhas!$D$4:$D$1923,Linhas!$E$4:$E$1923,'Dados Linha'!$A18,Linhas!$A$4:$A$1923,"&gt;=01/07/2022",Linhas!$A$4:$A$1923,"&lt;01/08/2022")</f>
        <v>0</v>
      </c>
      <c r="P18" s="27" t="e">
        <f t="shared" si="6"/>
        <v>#VALUE!</v>
      </c>
      <c r="Q18" s="13">
        <f>SUMIFS(Linhas!$D$4:$D$1923,Linhas!$E$4:$E$1923,'Dados Linha'!$A18,Linhas!$A$4:$A$1923,"&gt;=01/08/2022",Linhas!$A$4:$A$1923,"&lt;01/09/2022")</f>
        <v>0</v>
      </c>
      <c r="R18" s="28" t="e">
        <f t="shared" si="7"/>
        <v>#VALUE!</v>
      </c>
      <c r="S18" s="14">
        <f>SUMIFS(Linhas!$D$4:$D$1923,Linhas!$E$4:$E$1923,'Dados Linha'!$A18,Linhas!$A$4:$A$1923,"&gt;=01/09/2022",Linhas!$A$4:$A$1923,"&lt;01/10/2022")</f>
        <v>0</v>
      </c>
      <c r="T18" s="29" t="e">
        <f t="shared" si="8"/>
        <v>#VALUE!</v>
      </c>
      <c r="U18" s="15">
        <f>SUMIFS(Linhas!$D$4:$D$1923,Linhas!$E$4:$E$1923,'Dados Linha'!$A18,Linhas!$A$4:$A$1923,"&gt;=01/10/2022",Linhas!$A$4:$A$1923,"&lt;01/11/2022")</f>
        <v>0</v>
      </c>
      <c r="V18" s="30" t="e">
        <f t="shared" si="9"/>
        <v>#VALUE!</v>
      </c>
      <c r="W18" s="16">
        <f>SUMIFS(Linhas!$D$4:$D$1923,Linhas!$E$4:$E$1923,'Dados Linha'!$A18,Linhas!$A$4:$A$1923,"&gt;=01/11/2022",Linhas!$A$4:$A$1923,"&lt;01/12/2022")</f>
        <v>0</v>
      </c>
      <c r="X18" s="31" t="e">
        <f t="shared" si="10"/>
        <v>#VALUE!</v>
      </c>
      <c r="Y18" s="6">
        <f>SUMIFS(Linhas!$D$4:$D$1923,Linhas!$E$4:$E$1923,'Dados Linha'!$A18,Linhas!$A$4:$A$1923,"&gt;=01/12/2022",Linhas!$A$4:$A$1923,"&lt;=31/12/2022")</f>
        <v>0</v>
      </c>
      <c r="Z18" s="64" t="e">
        <f t="shared" si="11"/>
        <v>#VALUE!</v>
      </c>
    </row>
    <row r="19" spans="1:26" x14ac:dyDescent="0.25">
      <c r="A19" s="117"/>
      <c r="B19" s="126"/>
      <c r="C19" s="121">
        <f>SUMIFS(Linhas!$D$4:$D$1923,Linhas!$E$4:$E$1923,'Dados Linha'!$A19,Linhas!$A$4:$A$1923,"&gt;=01/01/2022",Linhas!$A$4:$A$1923,"&lt;01/02/2022")</f>
        <v>0</v>
      </c>
      <c r="D19" s="21" t="e">
        <f t="shared" si="0"/>
        <v>#VALUE!</v>
      </c>
      <c r="E19" s="7">
        <f>SUMIFS(Linhas!$D$4:$D$1923,Linhas!$E$4:$E$1923,'Dados Linha'!$A19,Linhas!$A$4:$A$1923,"&gt;=01/02/2022",Linhas!$A$4:$A$1923,"&lt;01/03/2022")</f>
        <v>0</v>
      </c>
      <c r="F19" s="22" t="e">
        <f t="shared" si="1"/>
        <v>#VALUE!</v>
      </c>
      <c r="G19" s="8">
        <f>SUMIFS(Linhas!$D$4:$D$1923,Linhas!$E$4:$E$1923,'Dados Linha'!$A19,Linhas!$A$4:$A$1923,"&gt;=01/03/2022",Linhas!$A$4:$A$1923,"&lt;01/04/2022")</f>
        <v>0</v>
      </c>
      <c r="H19" s="23" t="e">
        <f t="shared" si="2"/>
        <v>#VALUE!</v>
      </c>
      <c r="I19" s="9">
        <f>SUMIFS(Linhas!$D$4:$D$1923,Linhas!$E$4:$E$1923,'Dados Linha'!$A19,Linhas!$A$4:$A$1923,"&gt;=01/04/2022",Linhas!$A$4:$A$1923,"&lt;01/05/2022")</f>
        <v>0</v>
      </c>
      <c r="J19" s="24" t="e">
        <f t="shared" si="3"/>
        <v>#VALUE!</v>
      </c>
      <c r="K19" s="10">
        <f>SUMIFS(Linhas!$D$4:$D$1923,Linhas!$E$4:$E$1923,'Dados Linha'!$A19,Linhas!$A$4:$A$1923,"&gt;=01/05/2022",Linhas!$A$4:$A$1923,"&lt;01/06/2022")</f>
        <v>0</v>
      </c>
      <c r="L19" s="25" t="e">
        <f t="shared" si="4"/>
        <v>#VALUE!</v>
      </c>
      <c r="M19" s="11">
        <f>SUMIFS(Linhas!$D$4:$D$1923,Linhas!$E$4:$E$1923,'Dados Linha'!$A19,Linhas!$A$4:$A$1923,"&gt;=01/06/2022",Linhas!$A$4:$A$1923,"&lt;01/07/2022")</f>
        <v>0</v>
      </c>
      <c r="N19" s="26" t="e">
        <f t="shared" si="5"/>
        <v>#VALUE!</v>
      </c>
      <c r="O19" s="12">
        <f>SUMIFS(Linhas!$D$4:$D$1923,Linhas!$E$4:$E$1923,'Dados Linha'!$A19,Linhas!$A$4:$A$1923,"&gt;=01/07/2022",Linhas!$A$4:$A$1923,"&lt;01/08/2022")</f>
        <v>0</v>
      </c>
      <c r="P19" s="27" t="e">
        <f t="shared" si="6"/>
        <v>#VALUE!</v>
      </c>
      <c r="Q19" s="13">
        <f>SUMIFS(Linhas!$D$4:$D$1923,Linhas!$E$4:$E$1923,'Dados Linha'!$A19,Linhas!$A$4:$A$1923,"&gt;=01/08/2022",Linhas!$A$4:$A$1923,"&lt;01/09/2022")</f>
        <v>0</v>
      </c>
      <c r="R19" s="28" t="e">
        <f t="shared" si="7"/>
        <v>#VALUE!</v>
      </c>
      <c r="S19" s="14">
        <f>SUMIFS(Linhas!$D$4:$D$1923,Linhas!$E$4:$E$1923,'Dados Linha'!$A19,Linhas!$A$4:$A$1923,"&gt;=01/09/2022",Linhas!$A$4:$A$1923,"&lt;01/10/2022")</f>
        <v>0</v>
      </c>
      <c r="T19" s="29" t="e">
        <f t="shared" si="8"/>
        <v>#VALUE!</v>
      </c>
      <c r="U19" s="15">
        <f>SUMIFS(Linhas!$D$4:$D$1923,Linhas!$E$4:$E$1923,'Dados Linha'!$A19,Linhas!$A$4:$A$1923,"&gt;=01/10/2022",Linhas!$A$4:$A$1923,"&lt;01/11/2022")</f>
        <v>0</v>
      </c>
      <c r="V19" s="30" t="e">
        <f t="shared" si="9"/>
        <v>#VALUE!</v>
      </c>
      <c r="W19" s="16">
        <f>SUMIFS(Linhas!$D$4:$D$1923,Linhas!$E$4:$E$1923,'Dados Linha'!$A19,Linhas!$A$4:$A$1923,"&gt;=01/11/2022",Linhas!$A$4:$A$1923,"&lt;01/12/2022")</f>
        <v>0</v>
      </c>
      <c r="X19" s="31" t="e">
        <f t="shared" si="10"/>
        <v>#VALUE!</v>
      </c>
      <c r="Y19" s="6">
        <f>SUMIFS(Linhas!$D$4:$D$1923,Linhas!$E$4:$E$1923,'Dados Linha'!$A19,Linhas!$A$4:$A$1923,"&gt;=01/12/2022",Linhas!$A$4:$A$1923,"&lt;=31/12/2022")</f>
        <v>0</v>
      </c>
      <c r="Z19" s="64" t="e">
        <f t="shared" si="11"/>
        <v>#VALUE!</v>
      </c>
    </row>
    <row r="20" spans="1:26" x14ac:dyDescent="0.25">
      <c r="A20" s="117"/>
      <c r="B20" s="126"/>
      <c r="C20" s="121">
        <f>SUMIFS(Linhas!$D$4:$D$1923,Linhas!$E$4:$E$1923,'Dados Linha'!$A20,Linhas!$A$4:$A$1923,"&gt;=01/01/2022",Linhas!$A$4:$A$1923,"&lt;01/02/2022")</f>
        <v>0</v>
      </c>
      <c r="D20" s="21" t="e">
        <f t="shared" si="0"/>
        <v>#VALUE!</v>
      </c>
      <c r="E20" s="7">
        <f>SUMIFS(Linhas!$D$4:$D$1923,Linhas!$E$4:$E$1923,'Dados Linha'!$A20,Linhas!$A$4:$A$1923,"&gt;=01/02/2022",Linhas!$A$4:$A$1923,"&lt;01/03/2022")</f>
        <v>0</v>
      </c>
      <c r="F20" s="22" t="e">
        <f t="shared" si="1"/>
        <v>#VALUE!</v>
      </c>
      <c r="G20" s="8">
        <f>SUMIFS(Linhas!$D$4:$D$1923,Linhas!$E$4:$E$1923,'Dados Linha'!$A20,Linhas!$A$4:$A$1923,"&gt;=01/03/2022",Linhas!$A$4:$A$1923,"&lt;01/04/2022")</f>
        <v>0</v>
      </c>
      <c r="H20" s="23" t="e">
        <f t="shared" si="2"/>
        <v>#VALUE!</v>
      </c>
      <c r="I20" s="9">
        <f>SUMIFS(Linhas!$D$4:$D$1923,Linhas!$E$4:$E$1923,'Dados Linha'!$A20,Linhas!$A$4:$A$1923,"&gt;=01/04/2022",Linhas!$A$4:$A$1923,"&lt;01/05/2022")</f>
        <v>0</v>
      </c>
      <c r="J20" s="24" t="e">
        <f t="shared" si="3"/>
        <v>#VALUE!</v>
      </c>
      <c r="K20" s="10">
        <f>SUMIFS(Linhas!$D$4:$D$1923,Linhas!$E$4:$E$1923,'Dados Linha'!$A20,Linhas!$A$4:$A$1923,"&gt;=01/05/2022",Linhas!$A$4:$A$1923,"&lt;01/06/2022")</f>
        <v>0</v>
      </c>
      <c r="L20" s="25" t="e">
        <f t="shared" si="4"/>
        <v>#VALUE!</v>
      </c>
      <c r="M20" s="11">
        <f>SUMIFS(Linhas!$D$4:$D$1923,Linhas!$E$4:$E$1923,'Dados Linha'!$A20,Linhas!$A$4:$A$1923,"&gt;=01/06/2022",Linhas!$A$4:$A$1923,"&lt;01/07/2022")</f>
        <v>0</v>
      </c>
      <c r="N20" s="26" t="e">
        <f t="shared" si="5"/>
        <v>#VALUE!</v>
      </c>
      <c r="O20" s="12">
        <f>SUMIFS(Linhas!$D$4:$D$1923,Linhas!$E$4:$E$1923,'Dados Linha'!$A20,Linhas!$A$4:$A$1923,"&gt;=01/07/2022",Linhas!$A$4:$A$1923,"&lt;01/08/2022")</f>
        <v>0</v>
      </c>
      <c r="P20" s="27" t="e">
        <f t="shared" si="6"/>
        <v>#VALUE!</v>
      </c>
      <c r="Q20" s="13">
        <f>SUMIFS(Linhas!$D$4:$D$1923,Linhas!$E$4:$E$1923,'Dados Linha'!$A20,Linhas!$A$4:$A$1923,"&gt;=01/08/2022",Linhas!$A$4:$A$1923,"&lt;01/09/2022")</f>
        <v>0</v>
      </c>
      <c r="R20" s="28" t="e">
        <f t="shared" si="7"/>
        <v>#VALUE!</v>
      </c>
      <c r="S20" s="14">
        <f>SUMIFS(Linhas!$D$4:$D$1923,Linhas!$E$4:$E$1923,'Dados Linha'!$A20,Linhas!$A$4:$A$1923,"&gt;=01/09/2022",Linhas!$A$4:$A$1923,"&lt;01/10/2022")</f>
        <v>0</v>
      </c>
      <c r="T20" s="29" t="e">
        <f t="shared" si="8"/>
        <v>#VALUE!</v>
      </c>
      <c r="U20" s="15">
        <f>SUMIFS(Linhas!$D$4:$D$1923,Linhas!$E$4:$E$1923,'Dados Linha'!$A20,Linhas!$A$4:$A$1923,"&gt;=01/10/2022",Linhas!$A$4:$A$1923,"&lt;01/11/2022")</f>
        <v>0</v>
      </c>
      <c r="V20" s="30" t="e">
        <f t="shared" si="9"/>
        <v>#VALUE!</v>
      </c>
      <c r="W20" s="16">
        <f>SUMIFS(Linhas!$D$4:$D$1923,Linhas!$E$4:$E$1923,'Dados Linha'!$A20,Linhas!$A$4:$A$1923,"&gt;=01/11/2022",Linhas!$A$4:$A$1923,"&lt;01/12/2022")</f>
        <v>0</v>
      </c>
      <c r="X20" s="31" t="e">
        <f t="shared" si="10"/>
        <v>#VALUE!</v>
      </c>
      <c r="Y20" s="6">
        <f>SUMIFS(Linhas!$D$4:$D$1923,Linhas!$E$4:$E$1923,'Dados Linha'!$A20,Linhas!$A$4:$A$1923,"&gt;=01/12/2022",Linhas!$A$4:$A$1923,"&lt;=31/12/2022")</f>
        <v>0</v>
      </c>
      <c r="Z20" s="64" t="e">
        <f t="shared" si="11"/>
        <v>#VALUE!</v>
      </c>
    </row>
    <row r="21" spans="1:26" x14ac:dyDescent="0.25">
      <c r="A21" s="118"/>
      <c r="B21" s="127"/>
      <c r="C21" s="122">
        <f>SUMIFS(Linhas!$D$4:$D$1923,Linhas!$E$4:$E$1923,'Dados Linha'!$A21,Linhas!$A$4:$A$1923,"&gt;=01/01/2022",Linhas!$A$4:$A$1923,"&lt;01/02/2022")</f>
        <v>0</v>
      </c>
      <c r="D21" s="42" t="e">
        <f t="shared" si="0"/>
        <v>#VALUE!</v>
      </c>
      <c r="E21" s="43">
        <f>SUMIFS(Linhas!$D$4:$D$1923,Linhas!$E$4:$E$1923,'Dados Linha'!$A21,Linhas!$A$4:$A$1923,"&gt;=01/02/2022",Linhas!$A$4:$A$1923,"&lt;01/03/2022")</f>
        <v>0</v>
      </c>
      <c r="F21" s="44" t="e">
        <f>$E21/$AD$1</f>
        <v>#VALUE!</v>
      </c>
      <c r="G21" s="45">
        <f>SUMIFS(Linhas!$D$4:$D$1923,Linhas!$E$4:$E$1923,'Dados Linha'!$A21,Linhas!$A$4:$A$1923,"&gt;=01/03/2022",Linhas!$A$4:$A$1923,"&lt;01/04/2022")</f>
        <v>0</v>
      </c>
      <c r="H21" s="46" t="e">
        <f t="shared" si="2"/>
        <v>#VALUE!</v>
      </c>
      <c r="I21" s="47">
        <f>SUMIFS(Linhas!$D$4:$D$1923,Linhas!$E$4:$E$1923,'Dados Linha'!$A21,Linhas!$A$4:$A$1923,"&gt;=01/04/2022",Linhas!$A$4:$A$1923,"&lt;01/05/2022")</f>
        <v>0</v>
      </c>
      <c r="J21" s="48" t="e">
        <f t="shared" si="3"/>
        <v>#VALUE!</v>
      </c>
      <c r="K21" s="49">
        <f>SUMIFS(Linhas!$D$4:$D$1923,Linhas!$E$4:$E$1923,'Dados Linha'!$A21,Linhas!$A$4:$A$1923,"&gt;=01/05/2022",Linhas!$A$4:$A$1923,"&lt;01/06/2022")</f>
        <v>0</v>
      </c>
      <c r="L21" s="50" t="e">
        <f t="shared" si="4"/>
        <v>#VALUE!</v>
      </c>
      <c r="M21" s="51">
        <f>SUMIFS(Linhas!$D$4:$D$1923,Linhas!$E$4:$E$1923,'Dados Linha'!$A21,Linhas!$A$4:$A$1923,"&gt;=01/06/2022",Linhas!$A$4:$A$1923,"&lt;01/07/2022")</f>
        <v>0</v>
      </c>
      <c r="N21" s="52" t="e">
        <f t="shared" si="5"/>
        <v>#VALUE!</v>
      </c>
      <c r="O21" s="53">
        <f>SUMIFS(Linhas!$D$4:$D$1923,Linhas!$E$4:$E$1923,'Dados Linha'!$A21,Linhas!$A$4:$A$1923,"&gt;=01/07/2022",Linhas!$A$4:$A$1923,"&lt;01/08/2022")</f>
        <v>0</v>
      </c>
      <c r="P21" s="54" t="e">
        <f t="shared" si="6"/>
        <v>#VALUE!</v>
      </c>
      <c r="Q21" s="55">
        <f>SUMIFS(Linhas!$D$4:$D$1923,Linhas!$E$4:$E$1923,'Dados Linha'!$A21,Linhas!$A$4:$A$1923,"&gt;=01/08/2022",Linhas!$A$4:$A$1923,"&lt;01/09/2022")</f>
        <v>0</v>
      </c>
      <c r="R21" s="56" t="e">
        <f t="shared" si="7"/>
        <v>#VALUE!</v>
      </c>
      <c r="S21" s="57">
        <f>SUMIFS(Linhas!$D$4:$D$1923,Linhas!$E$4:$E$1923,'Dados Linha'!$A21,Linhas!$A$4:$A$1923,"&gt;=01/09/2022",Linhas!$A$4:$A$1923,"&lt;01/10/2022")</f>
        <v>0</v>
      </c>
      <c r="T21" s="58" t="e">
        <f t="shared" si="8"/>
        <v>#VALUE!</v>
      </c>
      <c r="U21" s="59">
        <f>SUMIFS(Linhas!$D$4:$D$1923,Linhas!$E$4:$E$1923,'Dados Linha'!$A21,Linhas!$A$4:$A$1923,"&gt;=01/10/2022",Linhas!$A$4:$A$1923,"&lt;01/11/2022")</f>
        <v>0</v>
      </c>
      <c r="V21" s="60" t="e">
        <f t="shared" si="9"/>
        <v>#VALUE!</v>
      </c>
      <c r="W21" s="61">
        <f>SUMIFS(Linhas!$D$4:$D$1923,Linhas!$E$4:$E$1923,'Dados Linha'!$A21,Linhas!$A$4:$A$1923,"&gt;=01/11/2022",Linhas!$A$4:$A$1923,"&lt;01/12/2022")</f>
        <v>0</v>
      </c>
      <c r="X21" s="62" t="e">
        <f t="shared" si="10"/>
        <v>#VALUE!</v>
      </c>
      <c r="Y21" s="63">
        <f>SUMIFS(Linhas!$D$4:$D$1923,Linhas!$E$4:$E$1923,'Dados Linha'!$A21,Linhas!$A$4:$A$1923,"&gt;=01/12/2022",Linhas!$A$4:$A$1923,"&lt;=31/12/2022")</f>
        <v>0</v>
      </c>
      <c r="Z21" s="65" t="e">
        <f t="shared" si="11"/>
        <v>#VALUE!</v>
      </c>
    </row>
    <row r="22" spans="1:26" ht="15.75" thickBot="1" x14ac:dyDescent="0.3">
      <c r="A22" s="119"/>
      <c r="B22" s="128"/>
      <c r="C22" s="123">
        <f>SUMIFS(Linhas!$D$4:$D$1923,Linhas!$E$4:$E$1923,'Dados Linha'!$A22,Linhas!$A$4:$A$1923,"&gt;=01/01/2022",Linhas!$A$4:$A$1923,"&lt;01/02/2022")</f>
        <v>0</v>
      </c>
      <c r="D22" s="66" t="e">
        <f t="shared" ref="D22" si="12">$C22/AC$1</f>
        <v>#VALUE!</v>
      </c>
      <c r="E22" s="67">
        <f>SUMIFS(Linhas!$D$4:$D$1923,Linhas!$E$4:$E$1923,'Dados Linha'!$A22,Linhas!$A$4:$A$1923,"&gt;=01/02/2022",Linhas!$A$4:$A$1923,"&lt;01/03/2022")</f>
        <v>0</v>
      </c>
      <c r="F22" s="68" t="e">
        <f>$E22/$AD$1</f>
        <v>#VALUE!</v>
      </c>
      <c r="G22" s="69">
        <f>SUMIFS(Linhas!$D$4:$D$1923,Linhas!$E$4:$E$1923,'Dados Linha'!$A22,Linhas!$A$4:$A$1923,"&gt;=01/03/2022",Linhas!$A$4:$A$1923,"&lt;01/04/2022")</f>
        <v>0</v>
      </c>
      <c r="H22" s="70" t="e">
        <f t="shared" si="2"/>
        <v>#VALUE!</v>
      </c>
      <c r="I22" s="71">
        <f>SUMIFS(Linhas!$D$4:$D$1923,Linhas!$E$4:$E$1923,'Dados Linha'!$A22,Linhas!$A$4:$A$1923,"&gt;=01/04/2022",Linhas!$A$4:$A$1923,"&lt;01/05/2022")</f>
        <v>0</v>
      </c>
      <c r="J22" s="72" t="e">
        <f t="shared" si="3"/>
        <v>#VALUE!</v>
      </c>
      <c r="K22" s="73">
        <f>SUMIFS(Linhas!$D$4:$D$1923,Linhas!$E$4:$E$1923,'Dados Linha'!$A22,Linhas!$A$4:$A$1923,"&gt;=01/05/2022",Linhas!$A$4:$A$1923,"&lt;01/06/2022")</f>
        <v>0</v>
      </c>
      <c r="L22" s="74" t="e">
        <f t="shared" si="4"/>
        <v>#VALUE!</v>
      </c>
      <c r="M22" s="75">
        <f>SUMIFS(Linhas!$D$4:$D$1923,Linhas!$E$4:$E$1923,'Dados Linha'!$A22,Linhas!$A$4:$A$1923,"&gt;=01/06/2022",Linhas!$A$4:$A$1923,"&lt;01/07/2022")</f>
        <v>0</v>
      </c>
      <c r="N22" s="76" t="e">
        <f t="shared" si="5"/>
        <v>#VALUE!</v>
      </c>
      <c r="O22" s="77">
        <f>SUMIFS(Linhas!$D$4:$D$1923,Linhas!$E$4:$E$1923,'Dados Linha'!$A22,Linhas!$A$4:$A$1923,"&gt;=01/07/2022",Linhas!$A$4:$A$1923,"&lt;01/08/2022")</f>
        <v>0</v>
      </c>
      <c r="P22" s="78" t="e">
        <f t="shared" si="6"/>
        <v>#VALUE!</v>
      </c>
      <c r="Q22" s="79">
        <f>SUMIFS(Linhas!$D$4:$D$1923,Linhas!$E$4:$E$1923,'Dados Linha'!$A22,Linhas!$A$4:$A$1923,"&gt;=01/08/2022",Linhas!$A$4:$A$1923,"&lt;01/09/2022")</f>
        <v>0</v>
      </c>
      <c r="R22" s="80" t="e">
        <f t="shared" si="7"/>
        <v>#VALUE!</v>
      </c>
      <c r="S22" s="81">
        <f>SUMIFS(Linhas!$D$4:$D$1923,Linhas!$E$4:$E$1923,'Dados Linha'!$A22,Linhas!$A$4:$A$1923,"&gt;=01/09/2022",Linhas!$A$4:$A$1923,"&lt;01/10/2022")</f>
        <v>0</v>
      </c>
      <c r="T22" s="82" t="e">
        <f t="shared" si="8"/>
        <v>#VALUE!</v>
      </c>
      <c r="U22" s="83">
        <f>SUMIFS(Linhas!$D$4:$D$1923,Linhas!$E$4:$E$1923,'Dados Linha'!$A22,Linhas!$A$4:$A$1923,"&gt;=01/10/2022",Linhas!$A$4:$A$1923,"&lt;01/11/2022")</f>
        <v>0</v>
      </c>
      <c r="V22" s="84" t="e">
        <f t="shared" si="9"/>
        <v>#VALUE!</v>
      </c>
      <c r="W22" s="85">
        <f>SUMIFS(Linhas!$D$4:$D$1923,Linhas!$E$4:$E$1923,'Dados Linha'!$A22,Linhas!$A$4:$A$1923,"&gt;=01/11/2022",Linhas!$A$4:$A$1923,"&lt;01/12/2022")</f>
        <v>0</v>
      </c>
      <c r="X22" s="86" t="e">
        <f t="shared" si="10"/>
        <v>#VALUE!</v>
      </c>
      <c r="Y22" s="87">
        <f>SUMIFS(Linhas!$D$4:$D$1923,Linhas!$E$4:$E$1923,'Dados Linha'!$A22,Linhas!$A$4:$A$1923,"&gt;=01/12/2022",Linhas!$A$4:$A$1923,"&lt;=31/12/2022")</f>
        <v>0</v>
      </c>
      <c r="Z22" s="88" t="e">
        <f t="shared" si="11"/>
        <v>#VALUE!</v>
      </c>
    </row>
    <row r="23" spans="1:26" x14ac:dyDescent="0.25">
      <c r="A23" s="1"/>
    </row>
    <row r="1048575" spans="1:1" x14ac:dyDescent="0.25">
      <c r="A1048575" t="s">
        <v>21</v>
      </c>
    </row>
    <row r="1048576" spans="1:1" x14ac:dyDescent="0.25">
      <c r="A1048576" t="s">
        <v>21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>
    <tabColor rgb="FFFFFF00"/>
  </sheetPr>
  <dimension ref="A1:AN22"/>
  <sheetViews>
    <sheetView workbookViewId="0">
      <selection activeCell="A2" sqref="A2"/>
    </sheetView>
  </sheetViews>
  <sheetFormatPr defaultRowHeight="15" x14ac:dyDescent="0.25"/>
  <cols>
    <col min="1" max="1" width="12.7109375" customWidth="1"/>
  </cols>
  <sheetData>
    <row r="1" spans="1:40" ht="15.75" thickBot="1" x14ac:dyDescent="0.3">
      <c r="A1" s="5" t="s">
        <v>22</v>
      </c>
      <c r="B1" s="132"/>
      <c r="C1" s="5" t="s">
        <v>9</v>
      </c>
      <c r="D1" s="130" t="s">
        <v>24</v>
      </c>
      <c r="E1" s="130" t="s">
        <v>10</v>
      </c>
      <c r="F1" s="130" t="s">
        <v>24</v>
      </c>
      <c r="G1" s="130" t="s">
        <v>11</v>
      </c>
      <c r="H1" s="130" t="s">
        <v>24</v>
      </c>
      <c r="I1" s="130" t="s">
        <v>12</v>
      </c>
      <c r="J1" s="130" t="s">
        <v>24</v>
      </c>
      <c r="K1" s="130" t="s">
        <v>13</v>
      </c>
      <c r="L1" s="130" t="s">
        <v>24</v>
      </c>
      <c r="M1" s="130" t="s">
        <v>14</v>
      </c>
      <c r="N1" s="130" t="s">
        <v>24</v>
      </c>
      <c r="O1" s="130" t="s">
        <v>15</v>
      </c>
      <c r="P1" s="130" t="s">
        <v>24</v>
      </c>
      <c r="Q1" s="130" t="s">
        <v>16</v>
      </c>
      <c r="R1" s="130" t="s">
        <v>24</v>
      </c>
      <c r="S1" s="130" t="s">
        <v>17</v>
      </c>
      <c r="T1" s="130" t="s">
        <v>24</v>
      </c>
      <c r="U1" s="130" t="s">
        <v>18</v>
      </c>
      <c r="V1" s="130" t="s">
        <v>24</v>
      </c>
      <c r="W1" s="130" t="s">
        <v>19</v>
      </c>
      <c r="X1" s="130" t="s">
        <v>24</v>
      </c>
      <c r="Y1" s="130" t="s">
        <v>20</v>
      </c>
      <c r="Z1" s="131" t="s">
        <v>24</v>
      </c>
      <c r="AB1" s="3"/>
      <c r="AC1" s="17" t="s">
        <v>9</v>
      </c>
      <c r="AD1" s="17" t="s">
        <v>10</v>
      </c>
      <c r="AE1" s="17" t="s">
        <v>11</v>
      </c>
      <c r="AF1" s="17" t="s">
        <v>12</v>
      </c>
      <c r="AG1" s="17" t="s">
        <v>13</v>
      </c>
      <c r="AH1" s="17" t="s">
        <v>14</v>
      </c>
      <c r="AI1" s="17" t="s">
        <v>15</v>
      </c>
      <c r="AJ1" s="17" t="s">
        <v>16</v>
      </c>
      <c r="AK1" s="17" t="s">
        <v>17</v>
      </c>
      <c r="AL1" s="17" t="s">
        <v>18</v>
      </c>
      <c r="AM1" s="17" t="s">
        <v>19</v>
      </c>
      <c r="AN1" s="17" t="s">
        <v>20</v>
      </c>
    </row>
    <row r="2" spans="1:40" ht="15.75" thickBot="1" x14ac:dyDescent="0.3">
      <c r="A2" s="129"/>
      <c r="B2" s="133"/>
      <c r="C2" s="135">
        <f>SUMIFS(Fornecedores!$D$4:$D$1988,Fornecedores!$E$4:$E$1988,'Dados Fornecedor'!$A2,Fornecedores!$A$4:$A$1988,"&gt;=01/01/2022",Fornecedores!$A$4:$A$1988,"&lt;01/02/2022")</f>
        <v>0</v>
      </c>
      <c r="D2" s="89" t="e">
        <f>$C2/$AC$2</f>
        <v>#DIV/0!</v>
      </c>
      <c r="E2" s="90">
        <f>SUMIFS(Fornecedores!$D$4:$D$1988,Fornecedores!$E$4:$E$1988,'Dados Fornecedor'!$A2,Fornecedores!$A$4:$A$1988,"&gt;=01/02/2022",Fornecedores!$A$4:$A$1988,"&lt;01/03/2022")</f>
        <v>0</v>
      </c>
      <c r="F2" s="91" t="e">
        <f>$E2/$AD$2</f>
        <v>#DIV/0!</v>
      </c>
      <c r="G2" s="92">
        <f>SUMIFS(Fornecedores!$D$4:$D$1988,Fornecedores!$E$4:$E$1988,'Dados Fornecedor'!$A2,Fornecedores!$A$4:$A$1988,"&gt;=01/03/2022",Fornecedores!$A$4:$A$1988,"&lt;01/04/2022")</f>
        <v>0</v>
      </c>
      <c r="H2" s="93" t="e">
        <f>$G2/$AE$2</f>
        <v>#DIV/0!</v>
      </c>
      <c r="I2" s="94">
        <f>SUMIFS(Fornecedores!$D$4:$D$1988,Fornecedores!$E$4:$E$1988,'Dados Fornecedor'!$A2,Fornecedores!$A$4:$A$1988,"&gt;=01/04/2022",Fornecedores!$A$4:$A$1988,"&lt;01/05/2022")</f>
        <v>0</v>
      </c>
      <c r="J2" s="95" t="e">
        <f>$I2/$AF$2</f>
        <v>#DIV/0!</v>
      </c>
      <c r="K2" s="96">
        <f>SUMIFS(Fornecedores!$D$4:$D$1988,Fornecedores!$E$4:$E$1988,'Dados Fornecedor'!$A2,Fornecedores!$A$4:$A$1988,"&gt;=01/05/2022",Fornecedores!$A$4:$A$1988,"&lt;01/06/2022")</f>
        <v>0</v>
      </c>
      <c r="L2" s="97" t="e">
        <f>$K2/$AG$2</f>
        <v>#DIV/0!</v>
      </c>
      <c r="M2" s="98">
        <f>SUMIFS(Fornecedores!$D$4:$D$1988,Fornecedores!$E$4:$E$1988,'Dados Fornecedor'!$A2,Fornecedores!$A$4:$A$1988,"&gt;=01/06/2022",Fornecedores!$A$4:$A$1988,"&lt;01/07/2022")</f>
        <v>0</v>
      </c>
      <c r="N2" s="99" t="e">
        <f>$M2/$AH$2</f>
        <v>#DIV/0!</v>
      </c>
      <c r="O2" s="100">
        <f>SUMIFS(Fornecedores!$D$4:$D$1988,Fornecedores!$E$4:$E$1988,'Dados Fornecedor'!$A2,Fornecedores!$A$4:$A$1988,"&gt;=01/07/2022",Fornecedores!$A$4:$A$1988,"&lt;01/08/2022")</f>
        <v>0</v>
      </c>
      <c r="P2" s="101" t="e">
        <f>$O2/$AI$2</f>
        <v>#DIV/0!</v>
      </c>
      <c r="Q2" s="102">
        <f>SUMIFS(Fornecedores!$D$4:$D$1988,Fornecedores!$E$4:$E$1988,'Dados Fornecedor'!$A2,Fornecedores!$A$4:$A$1988,"&gt;=01/08/2022",Fornecedores!$A$4:$A$1988,"&lt;01/09/2022")</f>
        <v>0</v>
      </c>
      <c r="R2" s="103" t="e">
        <f>$Q2/$AJ$2</f>
        <v>#DIV/0!</v>
      </c>
      <c r="S2" s="104">
        <f>SUMIFS(Fornecedores!$D$4:$D$1988,Fornecedores!$E$4:$E$1988,'Dados Fornecedor'!$A2,Fornecedores!$A$4:$A$1988,"&gt;=01/09/2022",Fornecedores!$A$4:$A$1988,"&lt;01/10/2022")</f>
        <v>0</v>
      </c>
      <c r="T2" s="105" t="e">
        <f>$S2/$AK$2</f>
        <v>#DIV/0!</v>
      </c>
      <c r="U2" s="106">
        <f>SUMIFS(Fornecedores!$D$4:$D$1988,Fornecedores!$E$4:$E$1988,'Dados Fornecedor'!$A2,Fornecedores!$A$4:$A$1988,"&gt;=01/10/2022",Fornecedores!$A$4:$A$1988,"&lt;01/11/2022")</f>
        <v>0</v>
      </c>
      <c r="V2" s="107" t="e">
        <f>$U2/$AL$2</f>
        <v>#DIV/0!</v>
      </c>
      <c r="W2" s="108">
        <f>SUMIFS(Fornecedores!$D$4:$D$1988,Fornecedores!$E$4:$E$1988,'Dados Fornecedor'!$A2,Fornecedores!$A$4:$A$1988,"&gt;=01/11/2022",Fornecedores!$A$4:$A$1988,"&lt;01/12/2022")</f>
        <v>0</v>
      </c>
      <c r="X2" s="109" t="e">
        <f>$W2/$AM$2</f>
        <v>#DIV/0!</v>
      </c>
      <c r="Y2" s="110">
        <f>SUMIFS(Fornecedores!$D$4:$D$1988,Fornecedores!$E$4:$E$1988,'Dados Fornecedor'!$A2,Fornecedores!$A$4:$A$1988,"&gt;=01/12/2022",Fornecedores!$A$4:$A$1988,"&lt;=31/12/2022")</f>
        <v>0</v>
      </c>
      <c r="Z2" s="111" t="e">
        <f>$Y2/$AN$2</f>
        <v>#DIV/0!</v>
      </c>
      <c r="AB2" s="4" t="s">
        <v>25</v>
      </c>
      <c r="AC2" s="18">
        <f>SUMIFS(Fornecedores!$D$4:$D$1985,Fornecedores!$A$4:$A$1985,"&gt;=01/01/2022",Fornecedores!$A$4:$A$1985,"&lt;01/02/2022")</f>
        <v>0</v>
      </c>
      <c r="AD2" s="18">
        <f>SUMIFS(Fornecedores!$D$4:$D$1985,Fornecedores!$A$4:$A$1985,"&gt;=01/02/2022",Fornecedores!$A$4:$A$1985,"&lt;01/03/2022")</f>
        <v>0</v>
      </c>
      <c r="AE2" s="18">
        <f>SUMIFS(Fornecedores!$D$4:$D$1985,Fornecedores!$A$4:$A$1985,"&gt;=01/03/2022",Fornecedores!$A$4:$A$1985,"&lt;01/04/2022")</f>
        <v>0</v>
      </c>
      <c r="AF2" s="18">
        <f>SUMIFS(Fornecedores!$D$4:$D$1985,Fornecedores!$A$4:$A$1985,"&gt;=01/04/2022",Fornecedores!$A$4:$A$1985,"&lt;01/05/2022")</f>
        <v>0</v>
      </c>
      <c r="AG2" s="18">
        <f>SUMIFS(Fornecedores!$D$4:$D$1985,Fornecedores!$A$4:$A$1985,"&gt;=01/05/2022",Fornecedores!$A$4:$A$1985,"&lt;01/06/2022")</f>
        <v>0</v>
      </c>
      <c r="AH2" s="18">
        <f>SUMIFS(Fornecedores!$D$4:$D$1985,Fornecedores!$A$4:$A$1985,"&gt;=01/06/2022",Fornecedores!$A$4:$A$1985,"&lt;01/07/2022")</f>
        <v>0</v>
      </c>
      <c r="AI2" s="18">
        <f>SUMIFS(Fornecedores!$D$4:$D$1985,Fornecedores!$A$4:$A$1985,"&gt;=01/07/2022",Fornecedores!$A$4:$A$1985,"&lt;01/08/2022")</f>
        <v>0</v>
      </c>
      <c r="AJ2" s="18">
        <f>SUMIFS(Fornecedores!$D$4:$D$1985,Fornecedores!$A$4:$A$1985,"&gt;=01/08/2022",Fornecedores!$A$4:$A$1985,"&lt;01/09/2022")</f>
        <v>0</v>
      </c>
      <c r="AK2" s="18">
        <f>SUMIFS(Fornecedores!$D$4:$D$1985,Fornecedores!$A$4:$A$1985,"&gt;=01/09/2022",Fornecedores!$A$4:$A$1985,"&lt;01/10/2022")</f>
        <v>0</v>
      </c>
      <c r="AL2" s="18">
        <f>SUMIFS(Fornecedores!$D$4:$D$1985,Fornecedores!$A$4:$A$1985,"&gt;=01/10/2022",Fornecedores!$A$4:$A$1985,"&lt;01/11/2022")</f>
        <v>0</v>
      </c>
      <c r="AM2" s="18">
        <f>SUMIFS(Fornecedores!$D$4:$D$1985,Fornecedores!$A$4:$A$1985,"&gt;=01/11/2022",Fornecedores!$A$4:$A$1985,"&lt;01/12/2022")</f>
        <v>0</v>
      </c>
      <c r="AN2" s="18">
        <f>SUMIFS(Fornecedores!$D$4:$D$1985,Fornecedores!$A$4:$A$1985,"&gt;=01/12/2022",Fornecedores!$A$4:$A$1985,"&lt;=31/12/2022")</f>
        <v>0</v>
      </c>
    </row>
    <row r="3" spans="1:40" x14ac:dyDescent="0.25">
      <c r="A3" s="19"/>
      <c r="B3" s="33"/>
      <c r="C3" s="136">
        <f>SUMIFS(Fornecedores!$D$4:$D$1988,Fornecedores!$E$4:$E$1988,'Dados Fornecedor'!$A3,Fornecedores!$A$4:$A$1988,"&gt;=01/01/2022",Fornecedores!$A$4:$A$1988,"&lt;01/02/2022")</f>
        <v>0</v>
      </c>
      <c r="D3" s="21" t="e">
        <f t="shared" ref="D3:D22" si="0">$C3/$AC$2</f>
        <v>#DIV/0!</v>
      </c>
      <c r="E3" s="7">
        <f>SUMIFS(Fornecedores!$D$4:$D$1988,Fornecedores!$E$4:$E$1988,'Dados Fornecedor'!$A3,Fornecedores!$A$4:$A$1988,"&gt;=01/02/2022",Fornecedores!$A$4:$A$1988,"&lt;01/03/2022")</f>
        <v>0</v>
      </c>
      <c r="F3" s="22" t="e">
        <f t="shared" ref="F3:F22" si="1">$E3/$AD$2</f>
        <v>#DIV/0!</v>
      </c>
      <c r="G3" s="8">
        <f>SUMIFS(Fornecedores!$D$4:$D$1988,Fornecedores!$E$4:$E$1988,'Dados Fornecedor'!$A3,Fornecedores!$A$4:$A$1988,"&gt;=01/03/2022",Fornecedores!$A$4:$A$1988,"&lt;01/04/2022")</f>
        <v>0</v>
      </c>
      <c r="H3" s="23" t="e">
        <f t="shared" ref="H3:H22" si="2">$G3/$AE$2</f>
        <v>#DIV/0!</v>
      </c>
      <c r="I3" s="9">
        <f>SUMIFS(Fornecedores!$D$4:$D$1988,Fornecedores!$E$4:$E$1988,'Dados Fornecedor'!$A3,Fornecedores!$A$4:$A$1988,"&gt;=01/04/2022",Fornecedores!$A$4:$A$1988,"&lt;01/05/2022")</f>
        <v>0</v>
      </c>
      <c r="J3" s="24" t="e">
        <f t="shared" ref="J3:J22" si="3">$I3/$AF$2</f>
        <v>#DIV/0!</v>
      </c>
      <c r="K3" s="10">
        <f>SUMIFS(Fornecedores!$D$4:$D$1988,Fornecedores!$E$4:$E$1988,'Dados Fornecedor'!$A3,Fornecedores!$A$4:$A$1988,"&gt;=01/05/2022",Fornecedores!$A$4:$A$1988,"&lt;01/06/2022")</f>
        <v>0</v>
      </c>
      <c r="L3" s="25" t="e">
        <f t="shared" ref="L3:L22" si="4">$K3/$AG$2</f>
        <v>#DIV/0!</v>
      </c>
      <c r="M3" s="11">
        <f>SUMIFS(Fornecedores!$D$4:$D$1988,Fornecedores!$E$4:$E$1988,'Dados Fornecedor'!$A3,Fornecedores!$A$4:$A$1988,"&gt;=01/06/2022",Fornecedores!$A$4:$A$1988,"&lt;01/07/2022")</f>
        <v>0</v>
      </c>
      <c r="N3" s="26" t="e">
        <f t="shared" ref="N3:N22" si="5">$M3/$AH$2</f>
        <v>#DIV/0!</v>
      </c>
      <c r="O3" s="12">
        <f>SUMIFS(Fornecedores!$D$4:$D$1988,Fornecedores!$E$4:$E$1988,'Dados Fornecedor'!$A3,Fornecedores!$A$4:$A$1988,"&gt;=01/07/2022",Fornecedores!$A$4:$A$1988,"&lt;01/08/2022")</f>
        <v>0</v>
      </c>
      <c r="P3" s="27" t="e">
        <f t="shared" ref="P3:P22" si="6">$O3/$AI$2</f>
        <v>#DIV/0!</v>
      </c>
      <c r="Q3" s="13">
        <f>SUMIFS(Fornecedores!$D$4:$D$1988,Fornecedores!$E$4:$E$1988,'Dados Fornecedor'!$A3,Fornecedores!$A$4:$A$1988,"&gt;=01/08/2022",Fornecedores!$A$4:$A$1988,"&lt;01/09/2022")</f>
        <v>0</v>
      </c>
      <c r="R3" s="28" t="e">
        <f t="shared" ref="R3:R22" si="7">$Q3/$AJ$2</f>
        <v>#DIV/0!</v>
      </c>
      <c r="S3" s="14">
        <f>SUMIFS(Fornecedores!$D$4:$D$1988,Fornecedores!$E$4:$E$1988,'Dados Fornecedor'!$A3,Fornecedores!$A$4:$A$1988,"&gt;=01/09/2022",Fornecedores!$A$4:$A$1988,"&lt;01/10/2022")</f>
        <v>0</v>
      </c>
      <c r="T3" s="29" t="e">
        <f t="shared" ref="T3:T22" si="8">$S3/$AK$2</f>
        <v>#DIV/0!</v>
      </c>
      <c r="U3" s="15">
        <f>SUMIFS(Fornecedores!$D$4:$D$1988,Fornecedores!$E$4:$E$1988,'Dados Fornecedor'!$A3,Fornecedores!$A$4:$A$1988,"&gt;=01/10/2022",Fornecedores!$A$4:$A$1988,"&lt;01/11/2022")</f>
        <v>0</v>
      </c>
      <c r="V3" s="30" t="e">
        <f t="shared" ref="V3:V22" si="9">$U3/$AL$2</f>
        <v>#DIV/0!</v>
      </c>
      <c r="W3" s="16">
        <f>SUMIFS(Fornecedores!$D$4:$D$1988,Fornecedores!$E$4:$E$1988,'Dados Fornecedor'!$A3,Fornecedores!$A$4:$A$1988,"&gt;=01/11/2022",Fornecedores!$A$4:$A$1988,"&lt;01/12/2022")</f>
        <v>0</v>
      </c>
      <c r="X3" s="31" t="e">
        <f t="shared" ref="X3:X22" si="10">$W3/$AM$2</f>
        <v>#DIV/0!</v>
      </c>
      <c r="Y3" s="6">
        <f>SUMIFS(Fornecedores!$D$4:$D$1988,Fornecedores!$E$4:$E$1988,'Dados Fornecedor'!$A3,Fornecedores!$A$4:$A$1988,"&gt;=01/12/2022",Fornecedores!$A$4:$A$1988,"&lt;=31/12/2022")</f>
        <v>0</v>
      </c>
      <c r="Z3" s="64" t="e">
        <f t="shared" ref="Z3:Z22" si="11">$Y3/$AN$2</f>
        <v>#DIV/0!</v>
      </c>
    </row>
    <row r="4" spans="1:40" x14ac:dyDescent="0.25">
      <c r="A4" s="19"/>
      <c r="B4" s="33"/>
      <c r="C4" s="136">
        <f>SUMIFS(Fornecedores!$D$4:$D$1988,Fornecedores!$E$4:$E$1988,'Dados Fornecedor'!$A4,Fornecedores!$A$4:$A$1988,"&gt;=01/01/2022",Fornecedores!$A$4:$A$1988,"&lt;01/02/2022")</f>
        <v>0</v>
      </c>
      <c r="D4" s="21" t="e">
        <f t="shared" si="0"/>
        <v>#DIV/0!</v>
      </c>
      <c r="E4" s="7">
        <f>SUMIFS(Fornecedores!$D$4:$D$1988,Fornecedores!$E$4:$E$1988,'Dados Fornecedor'!$A4,Fornecedores!$A$4:$A$1988,"&gt;=01/02/2022",Fornecedores!$A$4:$A$1988,"&lt;01/03/2022")</f>
        <v>0</v>
      </c>
      <c r="F4" s="22" t="e">
        <f t="shared" si="1"/>
        <v>#DIV/0!</v>
      </c>
      <c r="G4" s="8">
        <f>SUMIFS(Fornecedores!$D$4:$D$1988,Fornecedores!$E$4:$E$1988,'Dados Fornecedor'!$A4,Fornecedores!$A$4:$A$1988,"&gt;=01/03/2022",Fornecedores!$A$4:$A$1988,"&lt;01/04/2022")</f>
        <v>0</v>
      </c>
      <c r="H4" s="23" t="e">
        <f t="shared" si="2"/>
        <v>#DIV/0!</v>
      </c>
      <c r="I4" s="9">
        <f>SUMIFS(Fornecedores!$D$4:$D$1988,Fornecedores!$E$4:$E$1988,'Dados Fornecedor'!$A4,Fornecedores!$A$4:$A$1988,"&gt;=01/04/2022",Fornecedores!$A$4:$A$1988,"&lt;01/05/2022")</f>
        <v>0</v>
      </c>
      <c r="J4" s="24" t="e">
        <f t="shared" si="3"/>
        <v>#DIV/0!</v>
      </c>
      <c r="K4" s="10">
        <f>SUMIFS(Fornecedores!$D$4:$D$1988,Fornecedores!$E$4:$E$1988,'Dados Fornecedor'!$A4,Fornecedores!$A$4:$A$1988,"&gt;=01/05/2022",Fornecedores!$A$4:$A$1988,"&lt;01/06/2022")</f>
        <v>0</v>
      </c>
      <c r="L4" s="25" t="e">
        <f t="shared" si="4"/>
        <v>#DIV/0!</v>
      </c>
      <c r="M4" s="11">
        <f>SUMIFS(Fornecedores!$D$4:$D$1988,Fornecedores!$E$4:$E$1988,'Dados Fornecedor'!$A4,Fornecedores!$A$4:$A$1988,"&gt;=01/06/2022",Fornecedores!$A$4:$A$1988,"&lt;01/07/2022")</f>
        <v>0</v>
      </c>
      <c r="N4" s="26" t="e">
        <f t="shared" si="5"/>
        <v>#DIV/0!</v>
      </c>
      <c r="O4" s="12">
        <f>SUMIFS(Fornecedores!$D$4:$D$1988,Fornecedores!$E$4:$E$1988,'Dados Fornecedor'!$A4,Fornecedores!$A$4:$A$1988,"&gt;=01/07/2022",Fornecedores!$A$4:$A$1988,"&lt;01/08/2022")</f>
        <v>0</v>
      </c>
      <c r="P4" s="27" t="e">
        <f t="shared" si="6"/>
        <v>#DIV/0!</v>
      </c>
      <c r="Q4" s="13">
        <f>SUMIFS(Fornecedores!$D$4:$D$1988,Fornecedores!$E$4:$E$1988,'Dados Fornecedor'!$A4,Fornecedores!$A$4:$A$1988,"&gt;=01/08/2022",Fornecedores!$A$4:$A$1988,"&lt;01/09/2022")</f>
        <v>0</v>
      </c>
      <c r="R4" s="28" t="e">
        <f t="shared" si="7"/>
        <v>#DIV/0!</v>
      </c>
      <c r="S4" s="14">
        <f>SUMIFS(Fornecedores!$D$4:$D$1988,Fornecedores!$E$4:$E$1988,'Dados Fornecedor'!$A4,Fornecedores!$A$4:$A$1988,"&gt;=01/09/2022",Fornecedores!$A$4:$A$1988,"&lt;01/10/2022")</f>
        <v>0</v>
      </c>
      <c r="T4" s="29" t="e">
        <f t="shared" si="8"/>
        <v>#DIV/0!</v>
      </c>
      <c r="U4" s="15">
        <f>SUMIFS(Fornecedores!$D$4:$D$1988,Fornecedores!$E$4:$E$1988,'Dados Fornecedor'!$A4,Fornecedores!$A$4:$A$1988,"&gt;=01/10/2022",Fornecedores!$A$4:$A$1988,"&lt;01/11/2022")</f>
        <v>0</v>
      </c>
      <c r="V4" s="30" t="e">
        <f t="shared" si="9"/>
        <v>#DIV/0!</v>
      </c>
      <c r="W4" s="16">
        <f>SUMIFS(Fornecedores!$D$4:$D$1988,Fornecedores!$E$4:$E$1988,'Dados Fornecedor'!$A4,Fornecedores!$A$4:$A$1988,"&gt;=01/11/2022",Fornecedores!$A$4:$A$1988,"&lt;01/12/2022")</f>
        <v>0</v>
      </c>
      <c r="X4" s="31" t="e">
        <f t="shared" si="10"/>
        <v>#DIV/0!</v>
      </c>
      <c r="Y4" s="6">
        <f>SUMIFS(Fornecedores!$D$4:$D$1988,Fornecedores!$E$4:$E$1988,'Dados Fornecedor'!$A4,Fornecedores!$A$4:$A$1988,"&gt;=01/12/2022",Fornecedores!$A$4:$A$1988,"&lt;=31/12/2022")</f>
        <v>0</v>
      </c>
      <c r="Z4" s="64" t="e">
        <f t="shared" si="11"/>
        <v>#DIV/0!</v>
      </c>
    </row>
    <row r="5" spans="1:40" x14ac:dyDescent="0.25">
      <c r="A5" s="19"/>
      <c r="B5" s="33"/>
      <c r="C5" s="136">
        <f>SUMIFS(Fornecedores!$D$4:$D$1988,Fornecedores!$E$4:$E$1988,'Dados Fornecedor'!$A5,Fornecedores!$A$4:$A$1988,"&gt;=01/01/2022",Fornecedores!$A$4:$A$1988,"&lt;01/02/2022")</f>
        <v>0</v>
      </c>
      <c r="D5" s="21" t="e">
        <f t="shared" si="0"/>
        <v>#DIV/0!</v>
      </c>
      <c r="E5" s="7">
        <f>SUMIFS(Fornecedores!$D$4:$D$1988,Fornecedores!$E$4:$E$1988,'Dados Fornecedor'!$A5,Fornecedores!$A$4:$A$1988,"&gt;=01/02/2022",Fornecedores!$A$4:$A$1988,"&lt;01/03/2022")</f>
        <v>0</v>
      </c>
      <c r="F5" s="22" t="e">
        <f t="shared" si="1"/>
        <v>#DIV/0!</v>
      </c>
      <c r="G5" s="8">
        <f>SUMIFS(Fornecedores!$D$4:$D$1988,Fornecedores!$E$4:$E$1988,'Dados Fornecedor'!$A5,Fornecedores!$A$4:$A$1988,"&gt;=01/03/2022",Fornecedores!$A$4:$A$1988,"&lt;01/04/2022")</f>
        <v>0</v>
      </c>
      <c r="H5" s="23" t="e">
        <f t="shared" si="2"/>
        <v>#DIV/0!</v>
      </c>
      <c r="I5" s="9">
        <f>SUMIFS(Fornecedores!$D$4:$D$1988,Fornecedores!$E$4:$E$1988,'Dados Fornecedor'!$A5,Fornecedores!$A$4:$A$1988,"&gt;=01/04/2022",Fornecedores!$A$4:$A$1988,"&lt;01/05/2022")</f>
        <v>0</v>
      </c>
      <c r="J5" s="24" t="e">
        <f t="shared" si="3"/>
        <v>#DIV/0!</v>
      </c>
      <c r="K5" s="10">
        <f>SUMIFS(Fornecedores!$D$4:$D$1988,Fornecedores!$E$4:$E$1988,'Dados Fornecedor'!$A5,Fornecedores!$A$4:$A$1988,"&gt;=01/05/2022",Fornecedores!$A$4:$A$1988,"&lt;01/06/2022")</f>
        <v>0</v>
      </c>
      <c r="L5" s="25" t="e">
        <f t="shared" si="4"/>
        <v>#DIV/0!</v>
      </c>
      <c r="M5" s="11">
        <f>SUMIFS(Fornecedores!$D$4:$D$1988,Fornecedores!$E$4:$E$1988,'Dados Fornecedor'!$A5,Fornecedores!$A$4:$A$1988,"&gt;=01/06/2022",Fornecedores!$A$4:$A$1988,"&lt;01/07/2022")</f>
        <v>0</v>
      </c>
      <c r="N5" s="26" t="e">
        <f t="shared" si="5"/>
        <v>#DIV/0!</v>
      </c>
      <c r="O5" s="12">
        <f>SUMIFS(Fornecedores!$D$4:$D$1988,Fornecedores!$E$4:$E$1988,'Dados Fornecedor'!$A5,Fornecedores!$A$4:$A$1988,"&gt;=01/07/2022",Fornecedores!$A$4:$A$1988,"&lt;01/08/2022")</f>
        <v>0</v>
      </c>
      <c r="P5" s="27" t="e">
        <f t="shared" si="6"/>
        <v>#DIV/0!</v>
      </c>
      <c r="Q5" s="13">
        <f>SUMIFS(Fornecedores!$D$4:$D$1988,Fornecedores!$E$4:$E$1988,'Dados Fornecedor'!$A5,Fornecedores!$A$4:$A$1988,"&gt;=01/08/2022",Fornecedores!$A$4:$A$1988,"&lt;01/09/2022")</f>
        <v>0</v>
      </c>
      <c r="R5" s="28" t="e">
        <f t="shared" si="7"/>
        <v>#DIV/0!</v>
      </c>
      <c r="S5" s="14">
        <f>SUMIFS(Fornecedores!$D$4:$D$1988,Fornecedores!$E$4:$E$1988,'Dados Fornecedor'!$A5,Fornecedores!$A$4:$A$1988,"&gt;=01/09/2022",Fornecedores!$A$4:$A$1988,"&lt;01/10/2022")</f>
        <v>0</v>
      </c>
      <c r="T5" s="29" t="e">
        <f t="shared" si="8"/>
        <v>#DIV/0!</v>
      </c>
      <c r="U5" s="15">
        <f>SUMIFS(Fornecedores!$D$4:$D$1988,Fornecedores!$E$4:$E$1988,'Dados Fornecedor'!$A5,Fornecedores!$A$4:$A$1988,"&gt;=01/10/2022",Fornecedores!$A$4:$A$1988,"&lt;01/11/2022")</f>
        <v>0</v>
      </c>
      <c r="V5" s="30" t="e">
        <f t="shared" si="9"/>
        <v>#DIV/0!</v>
      </c>
      <c r="W5" s="16">
        <f>SUMIFS(Fornecedores!$D$4:$D$1988,Fornecedores!$E$4:$E$1988,'Dados Fornecedor'!$A5,Fornecedores!$A$4:$A$1988,"&gt;=01/11/2022",Fornecedores!$A$4:$A$1988,"&lt;01/12/2022")</f>
        <v>0</v>
      </c>
      <c r="X5" s="31" t="e">
        <f t="shared" si="10"/>
        <v>#DIV/0!</v>
      </c>
      <c r="Y5" s="6">
        <f>SUMIFS(Fornecedores!$D$4:$D$1988,Fornecedores!$E$4:$E$1988,'Dados Fornecedor'!$A5,Fornecedores!$A$4:$A$1988,"&gt;=01/12/2022",Fornecedores!$A$4:$A$1988,"&lt;=31/12/2022")</f>
        <v>0</v>
      </c>
      <c r="Z5" s="64" t="e">
        <f t="shared" si="11"/>
        <v>#DIV/0!</v>
      </c>
    </row>
    <row r="6" spans="1:40" x14ac:dyDescent="0.25">
      <c r="A6" s="19"/>
      <c r="B6" s="33"/>
      <c r="C6" s="136">
        <f>SUMIFS(Fornecedores!$D$4:$D$1988,Fornecedores!$E$4:$E$1988,'Dados Fornecedor'!$A6,Fornecedores!$A$4:$A$1988,"&gt;=01/01/2022",Fornecedores!$A$4:$A$1988,"&lt;01/02/2022")</f>
        <v>0</v>
      </c>
      <c r="D6" s="21" t="e">
        <f t="shared" si="0"/>
        <v>#DIV/0!</v>
      </c>
      <c r="E6" s="7">
        <f>SUMIFS(Fornecedores!$D$4:$D$1988,Fornecedores!$E$4:$E$1988,'Dados Fornecedor'!$A6,Fornecedores!$A$4:$A$1988,"&gt;=01/02/2022",Fornecedores!$A$4:$A$1988,"&lt;01/03/2022")</f>
        <v>0</v>
      </c>
      <c r="F6" s="22" t="e">
        <f t="shared" si="1"/>
        <v>#DIV/0!</v>
      </c>
      <c r="G6" s="8">
        <f>SUMIFS(Fornecedores!$D$4:$D$1988,Fornecedores!$E$4:$E$1988,'Dados Fornecedor'!$A6,Fornecedores!$A$4:$A$1988,"&gt;=01/03/2022",Fornecedores!$A$4:$A$1988,"&lt;01/04/2022")</f>
        <v>0</v>
      </c>
      <c r="H6" s="23" t="e">
        <f t="shared" si="2"/>
        <v>#DIV/0!</v>
      </c>
      <c r="I6" s="9">
        <f>SUMIFS(Fornecedores!$D$4:$D$1988,Fornecedores!$E$4:$E$1988,'Dados Fornecedor'!$A6,Fornecedores!$A$4:$A$1988,"&gt;=01/04/2022",Fornecedores!$A$4:$A$1988,"&lt;01/05/2022")</f>
        <v>0</v>
      </c>
      <c r="J6" s="24" t="e">
        <f t="shared" si="3"/>
        <v>#DIV/0!</v>
      </c>
      <c r="K6" s="10">
        <f>SUMIFS(Fornecedores!$D$4:$D$1988,Fornecedores!$E$4:$E$1988,'Dados Fornecedor'!$A6,Fornecedores!$A$4:$A$1988,"&gt;=01/05/2022",Fornecedores!$A$4:$A$1988,"&lt;01/06/2022")</f>
        <v>0</v>
      </c>
      <c r="L6" s="25" t="e">
        <f t="shared" si="4"/>
        <v>#DIV/0!</v>
      </c>
      <c r="M6" s="11">
        <f>SUMIFS(Fornecedores!$D$4:$D$1988,Fornecedores!$E$4:$E$1988,'Dados Fornecedor'!$A6,Fornecedores!$A$4:$A$1988,"&gt;=01/06/2022",Fornecedores!$A$4:$A$1988,"&lt;01/07/2022")</f>
        <v>0</v>
      </c>
      <c r="N6" s="26" t="e">
        <f t="shared" si="5"/>
        <v>#DIV/0!</v>
      </c>
      <c r="O6" s="12">
        <f>SUMIFS(Fornecedores!$D$4:$D$1988,Fornecedores!$E$4:$E$1988,'Dados Fornecedor'!$A6,Fornecedores!$A$4:$A$1988,"&gt;=01/07/2022",Fornecedores!$A$4:$A$1988,"&lt;01/08/2022")</f>
        <v>0</v>
      </c>
      <c r="P6" s="27" t="e">
        <f t="shared" si="6"/>
        <v>#DIV/0!</v>
      </c>
      <c r="Q6" s="13">
        <f>SUMIFS(Fornecedores!$D$4:$D$1988,Fornecedores!$E$4:$E$1988,'Dados Fornecedor'!$A6,Fornecedores!$A$4:$A$1988,"&gt;=01/08/2022",Fornecedores!$A$4:$A$1988,"&lt;01/09/2022")</f>
        <v>0</v>
      </c>
      <c r="R6" s="28" t="e">
        <f t="shared" si="7"/>
        <v>#DIV/0!</v>
      </c>
      <c r="S6" s="14">
        <f>SUMIFS(Fornecedores!$D$4:$D$1988,Fornecedores!$E$4:$E$1988,'Dados Fornecedor'!$A6,Fornecedores!$A$4:$A$1988,"&gt;=01/09/2022",Fornecedores!$A$4:$A$1988,"&lt;01/10/2022")</f>
        <v>0</v>
      </c>
      <c r="T6" s="29" t="e">
        <f t="shared" si="8"/>
        <v>#DIV/0!</v>
      </c>
      <c r="U6" s="15">
        <f>SUMIFS(Fornecedores!$D$4:$D$1988,Fornecedores!$E$4:$E$1988,'Dados Fornecedor'!$A6,Fornecedores!$A$4:$A$1988,"&gt;=01/10/2022",Fornecedores!$A$4:$A$1988,"&lt;01/11/2022")</f>
        <v>0</v>
      </c>
      <c r="V6" s="30" t="e">
        <f t="shared" si="9"/>
        <v>#DIV/0!</v>
      </c>
      <c r="W6" s="16">
        <f>SUMIFS(Fornecedores!$D$4:$D$1988,Fornecedores!$E$4:$E$1988,'Dados Fornecedor'!$A6,Fornecedores!$A$4:$A$1988,"&gt;=01/11/2022",Fornecedores!$A$4:$A$1988,"&lt;01/12/2022")</f>
        <v>0</v>
      </c>
      <c r="X6" s="31" t="e">
        <f t="shared" si="10"/>
        <v>#DIV/0!</v>
      </c>
      <c r="Y6" s="6">
        <f>SUMIFS(Fornecedores!$D$4:$D$1988,Fornecedores!$E$4:$E$1988,'Dados Fornecedor'!$A6,Fornecedores!$A$4:$A$1988,"&gt;=01/12/2022",Fornecedores!$A$4:$A$1988,"&lt;=31/12/2022")</f>
        <v>0</v>
      </c>
      <c r="Z6" s="64" t="e">
        <f t="shared" si="11"/>
        <v>#DIV/0!</v>
      </c>
    </row>
    <row r="7" spans="1:40" x14ac:dyDescent="0.25">
      <c r="A7" s="19"/>
      <c r="B7" s="33"/>
      <c r="C7" s="136">
        <f>SUMIFS(Fornecedores!$D$4:$D$1988,Fornecedores!$E$4:$E$1988,'Dados Fornecedor'!$A7,Fornecedores!$A$4:$A$1988,"&gt;=01/01/2022",Fornecedores!$A$4:$A$1988,"&lt;01/02/2022")</f>
        <v>0</v>
      </c>
      <c r="D7" s="21" t="e">
        <f t="shared" si="0"/>
        <v>#DIV/0!</v>
      </c>
      <c r="E7" s="7">
        <f>SUMIFS(Fornecedores!$D$4:$D$1988,Fornecedores!$E$4:$E$1988,'Dados Fornecedor'!$A7,Fornecedores!$A$4:$A$1988,"&gt;=01/02/2022",Fornecedores!$A$4:$A$1988,"&lt;01/03/2022")</f>
        <v>0</v>
      </c>
      <c r="F7" s="22" t="e">
        <f t="shared" si="1"/>
        <v>#DIV/0!</v>
      </c>
      <c r="G7" s="8">
        <f>SUMIFS(Fornecedores!$D$4:$D$1988,Fornecedores!$E$4:$E$1988,'Dados Fornecedor'!$A7,Fornecedores!$A$4:$A$1988,"&gt;=01/03/2022",Fornecedores!$A$4:$A$1988,"&lt;01/04/2022")</f>
        <v>0</v>
      </c>
      <c r="H7" s="23" t="e">
        <f t="shared" si="2"/>
        <v>#DIV/0!</v>
      </c>
      <c r="I7" s="9">
        <f>SUMIFS(Fornecedores!$D$4:$D$1988,Fornecedores!$E$4:$E$1988,'Dados Fornecedor'!$A7,Fornecedores!$A$4:$A$1988,"&gt;=01/04/2022",Fornecedores!$A$4:$A$1988,"&lt;01/05/2022")</f>
        <v>0</v>
      </c>
      <c r="J7" s="24" t="e">
        <f t="shared" si="3"/>
        <v>#DIV/0!</v>
      </c>
      <c r="K7" s="10">
        <f>SUMIFS(Fornecedores!$D$4:$D$1988,Fornecedores!$E$4:$E$1988,'Dados Fornecedor'!$A7,Fornecedores!$A$4:$A$1988,"&gt;=01/05/2022",Fornecedores!$A$4:$A$1988,"&lt;01/06/2022")</f>
        <v>0</v>
      </c>
      <c r="L7" s="25" t="e">
        <f t="shared" si="4"/>
        <v>#DIV/0!</v>
      </c>
      <c r="M7" s="11">
        <f>SUMIFS(Fornecedores!$D$4:$D$1988,Fornecedores!$E$4:$E$1988,'Dados Fornecedor'!$A7,Fornecedores!$A$4:$A$1988,"&gt;=01/06/2022",Fornecedores!$A$4:$A$1988,"&lt;01/07/2022")</f>
        <v>0</v>
      </c>
      <c r="N7" s="26" t="e">
        <f t="shared" si="5"/>
        <v>#DIV/0!</v>
      </c>
      <c r="O7" s="12">
        <f>SUMIFS(Fornecedores!$D$4:$D$1988,Fornecedores!$E$4:$E$1988,'Dados Fornecedor'!$A7,Fornecedores!$A$4:$A$1988,"&gt;=01/07/2022",Fornecedores!$A$4:$A$1988,"&lt;01/08/2022")</f>
        <v>0</v>
      </c>
      <c r="P7" s="27" t="e">
        <f t="shared" si="6"/>
        <v>#DIV/0!</v>
      </c>
      <c r="Q7" s="13">
        <f>SUMIFS(Fornecedores!$D$4:$D$1988,Fornecedores!$E$4:$E$1988,'Dados Fornecedor'!$A7,Fornecedores!$A$4:$A$1988,"&gt;=01/08/2022",Fornecedores!$A$4:$A$1988,"&lt;01/09/2022")</f>
        <v>0</v>
      </c>
      <c r="R7" s="28" t="e">
        <f t="shared" si="7"/>
        <v>#DIV/0!</v>
      </c>
      <c r="S7" s="14">
        <f>SUMIFS(Fornecedores!$D$4:$D$1988,Fornecedores!$E$4:$E$1988,'Dados Fornecedor'!$A7,Fornecedores!$A$4:$A$1988,"&gt;=01/09/2022",Fornecedores!$A$4:$A$1988,"&lt;01/10/2022")</f>
        <v>0</v>
      </c>
      <c r="T7" s="29" t="e">
        <f t="shared" si="8"/>
        <v>#DIV/0!</v>
      </c>
      <c r="U7" s="15">
        <f>SUMIFS(Fornecedores!$D$4:$D$1988,Fornecedores!$E$4:$E$1988,'Dados Fornecedor'!$A7,Fornecedores!$A$4:$A$1988,"&gt;=01/10/2022",Fornecedores!$A$4:$A$1988,"&lt;01/11/2022")</f>
        <v>0</v>
      </c>
      <c r="V7" s="30" t="e">
        <f t="shared" si="9"/>
        <v>#DIV/0!</v>
      </c>
      <c r="W7" s="16">
        <f>SUMIFS(Fornecedores!$D$4:$D$1988,Fornecedores!$E$4:$E$1988,'Dados Fornecedor'!$A7,Fornecedores!$A$4:$A$1988,"&gt;=01/11/2022",Fornecedores!$A$4:$A$1988,"&lt;01/12/2022")</f>
        <v>0</v>
      </c>
      <c r="X7" s="31" t="e">
        <f t="shared" si="10"/>
        <v>#DIV/0!</v>
      </c>
      <c r="Y7" s="6">
        <f>SUMIFS(Fornecedores!$D$4:$D$1988,Fornecedores!$E$4:$E$1988,'Dados Fornecedor'!$A7,Fornecedores!$A$4:$A$1988,"&gt;=01/12/2022",Fornecedores!$A$4:$A$1988,"&lt;=31/12/2022")</f>
        <v>0</v>
      </c>
      <c r="Z7" s="64" t="e">
        <f t="shared" si="11"/>
        <v>#DIV/0!</v>
      </c>
    </row>
    <row r="8" spans="1:40" x14ac:dyDescent="0.25">
      <c r="A8" s="19"/>
      <c r="B8" s="33"/>
      <c r="C8" s="136">
        <f>SUMIFS(Fornecedores!$D$4:$D$1988,Fornecedores!$E$4:$E$1988,'Dados Fornecedor'!$A8,Fornecedores!$A$4:$A$1988,"&gt;=01/01/2022",Fornecedores!$A$4:$A$1988,"&lt;01/02/2022")</f>
        <v>0</v>
      </c>
      <c r="D8" s="21" t="e">
        <f t="shared" si="0"/>
        <v>#DIV/0!</v>
      </c>
      <c r="E8" s="7">
        <f>SUMIFS(Fornecedores!$D$4:$D$1988,Fornecedores!$E$4:$E$1988,'Dados Fornecedor'!$A8,Fornecedores!$A$4:$A$1988,"&gt;=01/02/2022",Fornecedores!$A$4:$A$1988,"&lt;01/03/2022")</f>
        <v>0</v>
      </c>
      <c r="F8" s="22" t="e">
        <f t="shared" si="1"/>
        <v>#DIV/0!</v>
      </c>
      <c r="G8" s="8">
        <f>SUMIFS(Fornecedores!$D$4:$D$1988,Fornecedores!$E$4:$E$1988,'Dados Fornecedor'!$A8,Fornecedores!$A$4:$A$1988,"&gt;=01/03/2022",Fornecedores!$A$4:$A$1988,"&lt;01/04/2022")</f>
        <v>0</v>
      </c>
      <c r="H8" s="23" t="e">
        <f t="shared" si="2"/>
        <v>#DIV/0!</v>
      </c>
      <c r="I8" s="9">
        <f>SUMIFS(Fornecedores!$D$4:$D$1988,Fornecedores!$E$4:$E$1988,'Dados Fornecedor'!$A8,Fornecedores!$A$4:$A$1988,"&gt;=01/04/2022",Fornecedores!$A$4:$A$1988,"&lt;01/05/2022")</f>
        <v>0</v>
      </c>
      <c r="J8" s="24" t="e">
        <f t="shared" si="3"/>
        <v>#DIV/0!</v>
      </c>
      <c r="K8" s="10">
        <f>SUMIFS(Fornecedores!$D$4:$D$1988,Fornecedores!$E$4:$E$1988,'Dados Fornecedor'!$A8,Fornecedores!$A$4:$A$1988,"&gt;=01/05/2022",Fornecedores!$A$4:$A$1988,"&lt;01/06/2022")</f>
        <v>0</v>
      </c>
      <c r="L8" s="25" t="e">
        <f t="shared" si="4"/>
        <v>#DIV/0!</v>
      </c>
      <c r="M8" s="11">
        <f>SUMIFS(Fornecedores!$D$4:$D$1988,Fornecedores!$E$4:$E$1988,'Dados Fornecedor'!$A8,Fornecedores!$A$4:$A$1988,"&gt;=01/06/2022",Fornecedores!$A$4:$A$1988,"&lt;01/07/2022")</f>
        <v>0</v>
      </c>
      <c r="N8" s="26" t="e">
        <f t="shared" si="5"/>
        <v>#DIV/0!</v>
      </c>
      <c r="O8" s="12">
        <f>SUMIFS(Fornecedores!$D$4:$D$1988,Fornecedores!$E$4:$E$1988,'Dados Fornecedor'!$A8,Fornecedores!$A$4:$A$1988,"&gt;=01/07/2022",Fornecedores!$A$4:$A$1988,"&lt;01/08/2022")</f>
        <v>0</v>
      </c>
      <c r="P8" s="27" t="e">
        <f t="shared" si="6"/>
        <v>#DIV/0!</v>
      </c>
      <c r="Q8" s="13">
        <f>SUMIFS(Fornecedores!$D$4:$D$1988,Fornecedores!$E$4:$E$1988,'Dados Fornecedor'!$A8,Fornecedores!$A$4:$A$1988,"&gt;=01/08/2022",Fornecedores!$A$4:$A$1988,"&lt;01/09/2022")</f>
        <v>0</v>
      </c>
      <c r="R8" s="28" t="e">
        <f t="shared" si="7"/>
        <v>#DIV/0!</v>
      </c>
      <c r="S8" s="14">
        <f>SUMIFS(Fornecedores!$D$4:$D$1988,Fornecedores!$E$4:$E$1988,'Dados Fornecedor'!$A8,Fornecedores!$A$4:$A$1988,"&gt;=01/09/2022",Fornecedores!$A$4:$A$1988,"&lt;01/10/2022")</f>
        <v>0</v>
      </c>
      <c r="T8" s="29" t="e">
        <f t="shared" si="8"/>
        <v>#DIV/0!</v>
      </c>
      <c r="U8" s="15">
        <f>SUMIFS(Fornecedores!$D$4:$D$1988,Fornecedores!$E$4:$E$1988,'Dados Fornecedor'!$A8,Fornecedores!$A$4:$A$1988,"&gt;=01/10/2022",Fornecedores!$A$4:$A$1988,"&lt;01/11/2022")</f>
        <v>0</v>
      </c>
      <c r="V8" s="30" t="e">
        <f t="shared" si="9"/>
        <v>#DIV/0!</v>
      </c>
      <c r="W8" s="16">
        <f>SUMIFS(Fornecedores!$D$4:$D$1988,Fornecedores!$E$4:$E$1988,'Dados Fornecedor'!$A8,Fornecedores!$A$4:$A$1988,"&gt;=01/11/2022",Fornecedores!$A$4:$A$1988,"&lt;01/12/2022")</f>
        <v>0</v>
      </c>
      <c r="X8" s="31" t="e">
        <f t="shared" si="10"/>
        <v>#DIV/0!</v>
      </c>
      <c r="Y8" s="6">
        <f>SUMIFS(Fornecedores!$D$4:$D$1988,Fornecedores!$E$4:$E$1988,'Dados Fornecedor'!$A8,Fornecedores!$A$4:$A$1988,"&gt;=01/12/2022",Fornecedores!$A$4:$A$1988,"&lt;=31/12/2022")</f>
        <v>0</v>
      </c>
      <c r="Z8" s="64" t="e">
        <f t="shared" si="11"/>
        <v>#DIV/0!</v>
      </c>
    </row>
    <row r="9" spans="1:40" x14ac:dyDescent="0.25">
      <c r="A9" s="19"/>
      <c r="B9" s="33"/>
      <c r="C9" s="136">
        <f>SUMIFS(Fornecedores!$D$4:$D$1988,Fornecedores!$E$4:$E$1988,'Dados Fornecedor'!$A9,Fornecedores!$A$4:$A$1988,"&gt;=01/01/2022",Fornecedores!$A$4:$A$1988,"&lt;01/02/2022")</f>
        <v>0</v>
      </c>
      <c r="D9" s="21" t="e">
        <f t="shared" si="0"/>
        <v>#DIV/0!</v>
      </c>
      <c r="E9" s="7">
        <f>SUMIFS(Fornecedores!$D$4:$D$1988,Fornecedores!$E$4:$E$1988,'Dados Fornecedor'!$A9,Fornecedores!$A$4:$A$1988,"&gt;=01/02/2022",Fornecedores!$A$4:$A$1988,"&lt;01/03/2022")</f>
        <v>0</v>
      </c>
      <c r="F9" s="22" t="e">
        <f t="shared" si="1"/>
        <v>#DIV/0!</v>
      </c>
      <c r="G9" s="8">
        <f>SUMIFS(Fornecedores!$D$4:$D$1988,Fornecedores!$E$4:$E$1988,'Dados Fornecedor'!$A9,Fornecedores!$A$4:$A$1988,"&gt;=01/03/2022",Fornecedores!$A$4:$A$1988,"&lt;01/04/2022")</f>
        <v>0</v>
      </c>
      <c r="H9" s="23" t="e">
        <f t="shared" si="2"/>
        <v>#DIV/0!</v>
      </c>
      <c r="I9" s="9">
        <f>SUMIFS(Fornecedores!$D$4:$D$1988,Fornecedores!$E$4:$E$1988,'Dados Fornecedor'!$A9,Fornecedores!$A$4:$A$1988,"&gt;=01/04/2022",Fornecedores!$A$4:$A$1988,"&lt;01/05/2022")</f>
        <v>0</v>
      </c>
      <c r="J9" s="24" t="e">
        <f t="shared" si="3"/>
        <v>#DIV/0!</v>
      </c>
      <c r="K9" s="10">
        <f>SUMIFS(Fornecedores!$D$4:$D$1988,Fornecedores!$E$4:$E$1988,'Dados Fornecedor'!$A9,Fornecedores!$A$4:$A$1988,"&gt;=01/05/2022",Fornecedores!$A$4:$A$1988,"&lt;01/06/2022")</f>
        <v>0</v>
      </c>
      <c r="L9" s="25" t="e">
        <f t="shared" si="4"/>
        <v>#DIV/0!</v>
      </c>
      <c r="M9" s="11">
        <f>SUMIFS(Fornecedores!$D$4:$D$1988,Fornecedores!$E$4:$E$1988,'Dados Fornecedor'!$A9,Fornecedores!$A$4:$A$1988,"&gt;=01/06/2022",Fornecedores!$A$4:$A$1988,"&lt;01/07/2022")</f>
        <v>0</v>
      </c>
      <c r="N9" s="26" t="e">
        <f t="shared" si="5"/>
        <v>#DIV/0!</v>
      </c>
      <c r="O9" s="12">
        <f>SUMIFS(Fornecedores!$D$4:$D$1988,Fornecedores!$E$4:$E$1988,'Dados Fornecedor'!$A9,Fornecedores!$A$4:$A$1988,"&gt;=01/07/2022",Fornecedores!$A$4:$A$1988,"&lt;01/08/2022")</f>
        <v>0</v>
      </c>
      <c r="P9" s="27" t="e">
        <f t="shared" si="6"/>
        <v>#DIV/0!</v>
      </c>
      <c r="Q9" s="13">
        <f>SUMIFS(Fornecedores!$D$4:$D$1988,Fornecedores!$E$4:$E$1988,'Dados Fornecedor'!$A9,Fornecedores!$A$4:$A$1988,"&gt;=01/08/2022",Fornecedores!$A$4:$A$1988,"&lt;01/09/2022")</f>
        <v>0</v>
      </c>
      <c r="R9" s="28" t="e">
        <f t="shared" si="7"/>
        <v>#DIV/0!</v>
      </c>
      <c r="S9" s="14">
        <f>SUMIFS(Fornecedores!$D$4:$D$1988,Fornecedores!$E$4:$E$1988,'Dados Fornecedor'!$A9,Fornecedores!$A$4:$A$1988,"&gt;=01/09/2022",Fornecedores!$A$4:$A$1988,"&lt;01/10/2022")</f>
        <v>0</v>
      </c>
      <c r="T9" s="29" t="e">
        <f t="shared" si="8"/>
        <v>#DIV/0!</v>
      </c>
      <c r="U9" s="15">
        <f>SUMIFS(Fornecedores!$D$4:$D$1988,Fornecedores!$E$4:$E$1988,'Dados Fornecedor'!$A9,Fornecedores!$A$4:$A$1988,"&gt;=01/10/2022",Fornecedores!$A$4:$A$1988,"&lt;01/11/2022")</f>
        <v>0</v>
      </c>
      <c r="V9" s="30" t="e">
        <f t="shared" si="9"/>
        <v>#DIV/0!</v>
      </c>
      <c r="W9" s="16">
        <f>SUMIFS(Fornecedores!$D$4:$D$1988,Fornecedores!$E$4:$E$1988,'Dados Fornecedor'!$A9,Fornecedores!$A$4:$A$1988,"&gt;=01/11/2022",Fornecedores!$A$4:$A$1988,"&lt;01/12/2022")</f>
        <v>0</v>
      </c>
      <c r="X9" s="31" t="e">
        <f t="shared" si="10"/>
        <v>#DIV/0!</v>
      </c>
      <c r="Y9" s="6">
        <f>SUMIFS(Fornecedores!$D$4:$D$1988,Fornecedores!$E$4:$E$1988,'Dados Fornecedor'!$A9,Fornecedores!$A$4:$A$1988,"&gt;=01/12/2022",Fornecedores!$A$4:$A$1988,"&lt;=31/12/2022")</f>
        <v>0</v>
      </c>
      <c r="Z9" s="64" t="e">
        <f t="shared" si="11"/>
        <v>#DIV/0!</v>
      </c>
    </row>
    <row r="10" spans="1:40" x14ac:dyDescent="0.25">
      <c r="A10" s="19"/>
      <c r="B10" s="33"/>
      <c r="C10" s="136">
        <f>SUMIFS(Fornecedores!$D$4:$D$1988,Fornecedores!$E$4:$E$1988,'Dados Fornecedor'!$A10,Fornecedores!$A$4:$A$1988,"&gt;=01/01/2022",Fornecedores!$A$4:$A$1988,"&lt;01/02/2022")</f>
        <v>0</v>
      </c>
      <c r="D10" s="21" t="e">
        <f t="shared" si="0"/>
        <v>#DIV/0!</v>
      </c>
      <c r="E10" s="7">
        <f>SUMIFS(Fornecedores!$D$4:$D$1988,Fornecedores!$E$4:$E$1988,'Dados Fornecedor'!$A10,Fornecedores!$A$4:$A$1988,"&gt;=01/02/2022",Fornecedores!$A$4:$A$1988,"&lt;01/03/2022")</f>
        <v>0</v>
      </c>
      <c r="F10" s="22" t="e">
        <f t="shared" si="1"/>
        <v>#DIV/0!</v>
      </c>
      <c r="G10" s="8">
        <f>SUMIFS(Fornecedores!$D$4:$D$1988,Fornecedores!$E$4:$E$1988,'Dados Fornecedor'!$A10,Fornecedores!$A$4:$A$1988,"&gt;=01/03/2022",Fornecedores!$A$4:$A$1988,"&lt;01/04/2022")</f>
        <v>0</v>
      </c>
      <c r="H10" s="23" t="e">
        <f t="shared" si="2"/>
        <v>#DIV/0!</v>
      </c>
      <c r="I10" s="9">
        <f>SUMIFS(Fornecedores!$D$4:$D$1988,Fornecedores!$E$4:$E$1988,'Dados Fornecedor'!$A10,Fornecedores!$A$4:$A$1988,"&gt;=01/04/2022",Fornecedores!$A$4:$A$1988,"&lt;01/05/2022")</f>
        <v>0</v>
      </c>
      <c r="J10" s="24" t="e">
        <f t="shared" si="3"/>
        <v>#DIV/0!</v>
      </c>
      <c r="K10" s="10">
        <f>SUMIFS(Fornecedores!$D$4:$D$1988,Fornecedores!$E$4:$E$1988,'Dados Fornecedor'!$A10,Fornecedores!$A$4:$A$1988,"&gt;=01/05/2022",Fornecedores!$A$4:$A$1988,"&lt;01/06/2022")</f>
        <v>0</v>
      </c>
      <c r="L10" s="25" t="e">
        <f t="shared" si="4"/>
        <v>#DIV/0!</v>
      </c>
      <c r="M10" s="11">
        <f>SUMIFS(Fornecedores!$D$4:$D$1988,Fornecedores!$E$4:$E$1988,'Dados Fornecedor'!$A10,Fornecedores!$A$4:$A$1988,"&gt;=01/06/2022",Fornecedores!$A$4:$A$1988,"&lt;01/07/2022")</f>
        <v>0</v>
      </c>
      <c r="N10" s="26" t="e">
        <f t="shared" si="5"/>
        <v>#DIV/0!</v>
      </c>
      <c r="O10" s="12">
        <f>SUMIFS(Fornecedores!$D$4:$D$1988,Fornecedores!$E$4:$E$1988,'Dados Fornecedor'!$A10,Fornecedores!$A$4:$A$1988,"&gt;=01/07/2022",Fornecedores!$A$4:$A$1988,"&lt;01/08/2022")</f>
        <v>0</v>
      </c>
      <c r="P10" s="27" t="e">
        <f t="shared" si="6"/>
        <v>#DIV/0!</v>
      </c>
      <c r="Q10" s="13">
        <f>SUMIFS(Fornecedores!$D$4:$D$1988,Fornecedores!$E$4:$E$1988,'Dados Fornecedor'!$A10,Fornecedores!$A$4:$A$1988,"&gt;=01/08/2022",Fornecedores!$A$4:$A$1988,"&lt;01/09/2022")</f>
        <v>0</v>
      </c>
      <c r="R10" s="28" t="e">
        <f t="shared" si="7"/>
        <v>#DIV/0!</v>
      </c>
      <c r="S10" s="14">
        <f>SUMIFS(Fornecedores!$D$4:$D$1988,Fornecedores!$E$4:$E$1988,'Dados Fornecedor'!$A10,Fornecedores!$A$4:$A$1988,"&gt;=01/09/2022",Fornecedores!$A$4:$A$1988,"&lt;01/10/2022")</f>
        <v>0</v>
      </c>
      <c r="T10" s="29" t="e">
        <f t="shared" si="8"/>
        <v>#DIV/0!</v>
      </c>
      <c r="U10" s="15">
        <f>SUMIFS(Fornecedores!$D$4:$D$1988,Fornecedores!$E$4:$E$1988,'Dados Fornecedor'!$A10,Fornecedores!$A$4:$A$1988,"&gt;=01/10/2022",Fornecedores!$A$4:$A$1988,"&lt;01/11/2022")</f>
        <v>0</v>
      </c>
      <c r="V10" s="30" t="e">
        <f t="shared" si="9"/>
        <v>#DIV/0!</v>
      </c>
      <c r="W10" s="16">
        <f>SUMIFS(Fornecedores!$D$4:$D$1988,Fornecedores!$E$4:$E$1988,'Dados Fornecedor'!$A10,Fornecedores!$A$4:$A$1988,"&gt;=01/11/2022",Fornecedores!$A$4:$A$1988,"&lt;01/12/2022")</f>
        <v>0</v>
      </c>
      <c r="X10" s="31" t="e">
        <f t="shared" si="10"/>
        <v>#DIV/0!</v>
      </c>
      <c r="Y10" s="6">
        <f>SUMIFS(Fornecedores!$D$4:$D$1988,Fornecedores!$E$4:$E$1988,'Dados Fornecedor'!$A10,Fornecedores!$A$4:$A$1988,"&gt;=01/12/2022",Fornecedores!$A$4:$A$1988,"&lt;=31/12/2022")</f>
        <v>0</v>
      </c>
      <c r="Z10" s="64" t="e">
        <f t="shared" si="11"/>
        <v>#DIV/0!</v>
      </c>
    </row>
    <row r="11" spans="1:40" x14ac:dyDescent="0.25">
      <c r="A11" s="19"/>
      <c r="B11" s="33"/>
      <c r="C11" s="136">
        <f>SUMIFS(Fornecedores!$D$4:$D$1988,Fornecedores!$E$4:$E$1988,'Dados Fornecedor'!$A11,Fornecedores!$A$4:$A$1988,"&gt;=01/01/2022",Fornecedores!$A$4:$A$1988,"&lt;01/02/2022")</f>
        <v>0</v>
      </c>
      <c r="D11" s="21" t="e">
        <f t="shared" si="0"/>
        <v>#DIV/0!</v>
      </c>
      <c r="E11" s="7">
        <f>SUMIFS(Fornecedores!$D$4:$D$1988,Fornecedores!$E$4:$E$1988,'Dados Fornecedor'!$A11,Fornecedores!$A$4:$A$1988,"&gt;=01/02/2022",Fornecedores!$A$4:$A$1988,"&lt;01/03/2022")</f>
        <v>0</v>
      </c>
      <c r="F11" s="22" t="e">
        <f t="shared" si="1"/>
        <v>#DIV/0!</v>
      </c>
      <c r="G11" s="8">
        <f>SUMIFS(Fornecedores!$D$4:$D$1988,Fornecedores!$E$4:$E$1988,'Dados Fornecedor'!$A11,Fornecedores!$A$4:$A$1988,"&gt;=01/03/2022",Fornecedores!$A$4:$A$1988,"&lt;01/04/2022")</f>
        <v>0</v>
      </c>
      <c r="H11" s="23" t="e">
        <f t="shared" si="2"/>
        <v>#DIV/0!</v>
      </c>
      <c r="I11" s="9">
        <f>SUMIFS(Fornecedores!$D$4:$D$1988,Fornecedores!$E$4:$E$1988,'Dados Fornecedor'!$A11,Fornecedores!$A$4:$A$1988,"&gt;=01/04/2022",Fornecedores!$A$4:$A$1988,"&lt;01/05/2022")</f>
        <v>0</v>
      </c>
      <c r="J11" s="24" t="e">
        <f t="shared" si="3"/>
        <v>#DIV/0!</v>
      </c>
      <c r="K11" s="10">
        <f>SUMIFS(Fornecedores!$D$4:$D$1988,Fornecedores!$E$4:$E$1988,'Dados Fornecedor'!$A11,Fornecedores!$A$4:$A$1988,"&gt;=01/05/2022",Fornecedores!$A$4:$A$1988,"&lt;01/06/2022")</f>
        <v>0</v>
      </c>
      <c r="L11" s="25" t="e">
        <f t="shared" si="4"/>
        <v>#DIV/0!</v>
      </c>
      <c r="M11" s="11">
        <f>SUMIFS(Fornecedores!$D$4:$D$1988,Fornecedores!$E$4:$E$1988,'Dados Fornecedor'!$A11,Fornecedores!$A$4:$A$1988,"&gt;=01/06/2022",Fornecedores!$A$4:$A$1988,"&lt;01/07/2022")</f>
        <v>0</v>
      </c>
      <c r="N11" s="26" t="e">
        <f t="shared" si="5"/>
        <v>#DIV/0!</v>
      </c>
      <c r="O11" s="12">
        <f>SUMIFS(Fornecedores!$D$4:$D$1988,Fornecedores!$E$4:$E$1988,'Dados Fornecedor'!$A11,Fornecedores!$A$4:$A$1988,"&gt;=01/07/2022",Fornecedores!$A$4:$A$1988,"&lt;01/08/2022")</f>
        <v>0</v>
      </c>
      <c r="P11" s="27" t="e">
        <f t="shared" si="6"/>
        <v>#DIV/0!</v>
      </c>
      <c r="Q11" s="13">
        <f>SUMIFS(Fornecedores!$D$4:$D$1988,Fornecedores!$E$4:$E$1988,'Dados Fornecedor'!$A11,Fornecedores!$A$4:$A$1988,"&gt;=01/08/2022",Fornecedores!$A$4:$A$1988,"&lt;01/09/2022")</f>
        <v>0</v>
      </c>
      <c r="R11" s="28" t="e">
        <f t="shared" si="7"/>
        <v>#DIV/0!</v>
      </c>
      <c r="S11" s="14">
        <f>SUMIFS(Fornecedores!$D$4:$D$1988,Fornecedores!$E$4:$E$1988,'Dados Fornecedor'!$A11,Fornecedores!$A$4:$A$1988,"&gt;=01/09/2022",Fornecedores!$A$4:$A$1988,"&lt;01/10/2022")</f>
        <v>0</v>
      </c>
      <c r="T11" s="29" t="e">
        <f t="shared" si="8"/>
        <v>#DIV/0!</v>
      </c>
      <c r="U11" s="15">
        <f>SUMIFS(Fornecedores!$D$4:$D$1988,Fornecedores!$E$4:$E$1988,'Dados Fornecedor'!$A11,Fornecedores!$A$4:$A$1988,"&gt;=01/10/2022",Fornecedores!$A$4:$A$1988,"&lt;01/11/2022")</f>
        <v>0</v>
      </c>
      <c r="V11" s="30" t="e">
        <f t="shared" si="9"/>
        <v>#DIV/0!</v>
      </c>
      <c r="W11" s="16">
        <f>SUMIFS(Fornecedores!$D$4:$D$1988,Fornecedores!$E$4:$E$1988,'Dados Fornecedor'!$A11,Fornecedores!$A$4:$A$1988,"&gt;=01/11/2022",Fornecedores!$A$4:$A$1988,"&lt;01/12/2022")</f>
        <v>0</v>
      </c>
      <c r="X11" s="31" t="e">
        <f t="shared" si="10"/>
        <v>#DIV/0!</v>
      </c>
      <c r="Y11" s="6">
        <f>SUMIFS(Fornecedores!$D$4:$D$1988,Fornecedores!$E$4:$E$1988,'Dados Fornecedor'!$A11,Fornecedores!$A$4:$A$1988,"&gt;=01/12/2022",Fornecedores!$A$4:$A$1988,"&lt;=31/12/2022")</f>
        <v>0</v>
      </c>
      <c r="Z11" s="64" t="e">
        <f t="shared" si="11"/>
        <v>#DIV/0!</v>
      </c>
    </row>
    <row r="12" spans="1:40" x14ac:dyDescent="0.25">
      <c r="A12" s="19"/>
      <c r="B12" s="33"/>
      <c r="C12" s="136">
        <f>SUMIFS(Fornecedores!$D$4:$D$1988,Fornecedores!$E$4:$E$1988,'Dados Fornecedor'!$A12,Fornecedores!$A$4:$A$1988,"&gt;=01/01/2022",Fornecedores!$A$4:$A$1988,"&lt;01/02/2022")</f>
        <v>0</v>
      </c>
      <c r="D12" s="21" t="e">
        <f t="shared" si="0"/>
        <v>#DIV/0!</v>
      </c>
      <c r="E12" s="7">
        <f>SUMIFS(Fornecedores!$D$4:$D$1988,Fornecedores!$E$4:$E$1988,'Dados Fornecedor'!$A12,Fornecedores!$A$4:$A$1988,"&gt;=01/02/2022",Fornecedores!$A$4:$A$1988,"&lt;01/03/2022")</f>
        <v>0</v>
      </c>
      <c r="F12" s="22" t="e">
        <f t="shared" si="1"/>
        <v>#DIV/0!</v>
      </c>
      <c r="G12" s="8">
        <f>SUMIFS(Fornecedores!$D$4:$D$1988,Fornecedores!$E$4:$E$1988,'Dados Fornecedor'!$A12,Fornecedores!$A$4:$A$1988,"&gt;=01/03/2022",Fornecedores!$A$4:$A$1988,"&lt;01/04/2022")</f>
        <v>0</v>
      </c>
      <c r="H12" s="23" t="e">
        <f t="shared" si="2"/>
        <v>#DIV/0!</v>
      </c>
      <c r="I12" s="9">
        <f>SUMIFS(Fornecedores!$D$4:$D$1988,Fornecedores!$E$4:$E$1988,'Dados Fornecedor'!$A12,Fornecedores!$A$4:$A$1988,"&gt;=01/04/2022",Fornecedores!$A$4:$A$1988,"&lt;01/05/2022")</f>
        <v>0</v>
      </c>
      <c r="J12" s="24" t="e">
        <f t="shared" si="3"/>
        <v>#DIV/0!</v>
      </c>
      <c r="K12" s="10">
        <f>SUMIFS(Fornecedores!$D$4:$D$1988,Fornecedores!$E$4:$E$1988,'Dados Fornecedor'!$A12,Fornecedores!$A$4:$A$1988,"&gt;=01/05/2022",Fornecedores!$A$4:$A$1988,"&lt;01/06/2022")</f>
        <v>0</v>
      </c>
      <c r="L12" s="25" t="e">
        <f t="shared" si="4"/>
        <v>#DIV/0!</v>
      </c>
      <c r="M12" s="11">
        <f>SUMIFS(Fornecedores!$D$4:$D$1988,Fornecedores!$E$4:$E$1988,'Dados Fornecedor'!$A12,Fornecedores!$A$4:$A$1988,"&gt;=01/06/2022",Fornecedores!$A$4:$A$1988,"&lt;01/07/2022")</f>
        <v>0</v>
      </c>
      <c r="N12" s="26" t="e">
        <f t="shared" si="5"/>
        <v>#DIV/0!</v>
      </c>
      <c r="O12" s="12">
        <f>SUMIFS(Fornecedores!$D$4:$D$1988,Fornecedores!$E$4:$E$1988,'Dados Fornecedor'!$A12,Fornecedores!$A$4:$A$1988,"&gt;=01/07/2022",Fornecedores!$A$4:$A$1988,"&lt;01/08/2022")</f>
        <v>0</v>
      </c>
      <c r="P12" s="27" t="e">
        <f t="shared" si="6"/>
        <v>#DIV/0!</v>
      </c>
      <c r="Q12" s="13">
        <f>SUMIFS(Fornecedores!$D$4:$D$1988,Fornecedores!$E$4:$E$1988,'Dados Fornecedor'!$A12,Fornecedores!$A$4:$A$1988,"&gt;=01/08/2022",Fornecedores!$A$4:$A$1988,"&lt;01/09/2022")</f>
        <v>0</v>
      </c>
      <c r="R12" s="28" t="e">
        <f t="shared" si="7"/>
        <v>#DIV/0!</v>
      </c>
      <c r="S12" s="14">
        <f>SUMIFS(Fornecedores!$D$4:$D$1988,Fornecedores!$E$4:$E$1988,'Dados Fornecedor'!$A12,Fornecedores!$A$4:$A$1988,"&gt;=01/09/2022",Fornecedores!$A$4:$A$1988,"&lt;01/10/2022")</f>
        <v>0</v>
      </c>
      <c r="T12" s="29" t="e">
        <f t="shared" si="8"/>
        <v>#DIV/0!</v>
      </c>
      <c r="U12" s="15">
        <f>SUMIFS(Fornecedores!$D$4:$D$1988,Fornecedores!$E$4:$E$1988,'Dados Fornecedor'!$A12,Fornecedores!$A$4:$A$1988,"&gt;=01/10/2022",Fornecedores!$A$4:$A$1988,"&lt;01/11/2022")</f>
        <v>0</v>
      </c>
      <c r="V12" s="30" t="e">
        <f t="shared" si="9"/>
        <v>#DIV/0!</v>
      </c>
      <c r="W12" s="16">
        <f>SUMIFS(Fornecedores!$D$4:$D$1988,Fornecedores!$E$4:$E$1988,'Dados Fornecedor'!$A12,Fornecedores!$A$4:$A$1988,"&gt;=01/11/2022",Fornecedores!$A$4:$A$1988,"&lt;01/12/2022")</f>
        <v>0</v>
      </c>
      <c r="X12" s="31" t="e">
        <f t="shared" si="10"/>
        <v>#DIV/0!</v>
      </c>
      <c r="Y12" s="6">
        <f>SUMIFS(Fornecedores!$D$4:$D$1988,Fornecedores!$E$4:$E$1988,'Dados Fornecedor'!$A12,Fornecedores!$A$4:$A$1988,"&gt;=01/12/2022",Fornecedores!$A$4:$A$1988,"&lt;=31/12/2022")</f>
        <v>0</v>
      </c>
      <c r="Z12" s="64" t="e">
        <f t="shared" si="11"/>
        <v>#DIV/0!</v>
      </c>
    </row>
    <row r="13" spans="1:40" x14ac:dyDescent="0.25">
      <c r="A13" s="19"/>
      <c r="B13" s="33"/>
      <c r="C13" s="136">
        <f>SUMIFS(Fornecedores!$D$4:$D$1988,Fornecedores!$E$4:$E$1988,'Dados Fornecedor'!$A13,Fornecedores!$A$4:$A$1988,"&gt;=01/01/2022",Fornecedores!$A$4:$A$1988,"&lt;01/02/2022")</f>
        <v>0</v>
      </c>
      <c r="D13" s="21" t="e">
        <f t="shared" si="0"/>
        <v>#DIV/0!</v>
      </c>
      <c r="E13" s="7">
        <f>SUMIFS(Fornecedores!$D$4:$D$1988,Fornecedores!$E$4:$E$1988,'Dados Fornecedor'!$A13,Fornecedores!$A$4:$A$1988,"&gt;=01/02/2022",Fornecedores!$A$4:$A$1988,"&lt;01/03/2022")</f>
        <v>0</v>
      </c>
      <c r="F13" s="22" t="e">
        <f t="shared" si="1"/>
        <v>#DIV/0!</v>
      </c>
      <c r="G13" s="8">
        <f>SUMIFS(Fornecedores!$D$4:$D$1988,Fornecedores!$E$4:$E$1988,'Dados Fornecedor'!$A13,Fornecedores!$A$4:$A$1988,"&gt;=01/03/2022",Fornecedores!$A$4:$A$1988,"&lt;01/04/2022")</f>
        <v>0</v>
      </c>
      <c r="H13" s="23" t="e">
        <f t="shared" si="2"/>
        <v>#DIV/0!</v>
      </c>
      <c r="I13" s="9">
        <f>SUMIFS(Fornecedores!$D$4:$D$1988,Fornecedores!$E$4:$E$1988,'Dados Fornecedor'!$A13,Fornecedores!$A$4:$A$1988,"&gt;=01/04/2022",Fornecedores!$A$4:$A$1988,"&lt;01/05/2022")</f>
        <v>0</v>
      </c>
      <c r="J13" s="24" t="e">
        <f t="shared" si="3"/>
        <v>#DIV/0!</v>
      </c>
      <c r="K13" s="10">
        <f>SUMIFS(Fornecedores!$D$4:$D$1988,Fornecedores!$E$4:$E$1988,'Dados Fornecedor'!$A13,Fornecedores!$A$4:$A$1988,"&gt;=01/05/2022",Fornecedores!$A$4:$A$1988,"&lt;01/06/2022")</f>
        <v>0</v>
      </c>
      <c r="L13" s="25" t="e">
        <f t="shared" si="4"/>
        <v>#DIV/0!</v>
      </c>
      <c r="M13" s="11">
        <f>SUMIFS(Fornecedores!$D$4:$D$1988,Fornecedores!$E$4:$E$1988,'Dados Fornecedor'!$A13,Fornecedores!$A$4:$A$1988,"&gt;=01/06/2022",Fornecedores!$A$4:$A$1988,"&lt;01/07/2022")</f>
        <v>0</v>
      </c>
      <c r="N13" s="26" t="e">
        <f t="shared" si="5"/>
        <v>#DIV/0!</v>
      </c>
      <c r="O13" s="12">
        <f>SUMIFS(Fornecedores!$D$4:$D$1988,Fornecedores!$E$4:$E$1988,'Dados Fornecedor'!$A13,Fornecedores!$A$4:$A$1988,"&gt;=01/07/2022",Fornecedores!$A$4:$A$1988,"&lt;01/08/2022")</f>
        <v>0</v>
      </c>
      <c r="P13" s="27" t="e">
        <f t="shared" si="6"/>
        <v>#DIV/0!</v>
      </c>
      <c r="Q13" s="13">
        <f>SUMIFS(Fornecedores!$D$4:$D$1988,Fornecedores!$E$4:$E$1988,'Dados Fornecedor'!$A13,Fornecedores!$A$4:$A$1988,"&gt;=01/08/2022",Fornecedores!$A$4:$A$1988,"&lt;01/09/2022")</f>
        <v>0</v>
      </c>
      <c r="R13" s="28" t="e">
        <f t="shared" si="7"/>
        <v>#DIV/0!</v>
      </c>
      <c r="S13" s="14">
        <f>SUMIFS(Fornecedores!$D$4:$D$1988,Fornecedores!$E$4:$E$1988,'Dados Fornecedor'!$A13,Fornecedores!$A$4:$A$1988,"&gt;=01/09/2022",Fornecedores!$A$4:$A$1988,"&lt;01/10/2022")</f>
        <v>0</v>
      </c>
      <c r="T13" s="29" t="e">
        <f t="shared" si="8"/>
        <v>#DIV/0!</v>
      </c>
      <c r="U13" s="15">
        <f>SUMIFS(Fornecedores!$D$4:$D$1988,Fornecedores!$E$4:$E$1988,'Dados Fornecedor'!$A13,Fornecedores!$A$4:$A$1988,"&gt;=01/10/2022",Fornecedores!$A$4:$A$1988,"&lt;01/11/2022")</f>
        <v>0</v>
      </c>
      <c r="V13" s="30" t="e">
        <f t="shared" si="9"/>
        <v>#DIV/0!</v>
      </c>
      <c r="W13" s="16">
        <f>SUMIFS(Fornecedores!$D$4:$D$1988,Fornecedores!$E$4:$E$1988,'Dados Fornecedor'!$A13,Fornecedores!$A$4:$A$1988,"&gt;=01/11/2022",Fornecedores!$A$4:$A$1988,"&lt;01/12/2022")</f>
        <v>0</v>
      </c>
      <c r="X13" s="31" t="e">
        <f t="shared" si="10"/>
        <v>#DIV/0!</v>
      </c>
      <c r="Y13" s="6">
        <f>SUMIFS(Fornecedores!$D$4:$D$1988,Fornecedores!$E$4:$E$1988,'Dados Fornecedor'!$A13,Fornecedores!$A$4:$A$1988,"&gt;=01/12/2022",Fornecedores!$A$4:$A$1988,"&lt;=31/12/2022")</f>
        <v>0</v>
      </c>
      <c r="Z13" s="64" t="e">
        <f t="shared" si="11"/>
        <v>#DIV/0!</v>
      </c>
    </row>
    <row r="14" spans="1:40" x14ac:dyDescent="0.25">
      <c r="A14" s="19"/>
      <c r="B14" s="33"/>
      <c r="C14" s="136">
        <f>SUMIFS(Fornecedores!$D$4:$D$1988,Fornecedores!$E$4:$E$1988,'Dados Fornecedor'!$A14,Fornecedores!$A$4:$A$1988,"&gt;=01/01/2022",Fornecedores!$A$4:$A$1988,"&lt;01/02/2022")</f>
        <v>0</v>
      </c>
      <c r="D14" s="21" t="e">
        <f t="shared" si="0"/>
        <v>#DIV/0!</v>
      </c>
      <c r="E14" s="7">
        <f>SUMIFS(Fornecedores!$D$4:$D$1988,Fornecedores!$E$4:$E$1988,'Dados Fornecedor'!$A14,Fornecedores!$A$4:$A$1988,"&gt;=01/02/2022",Fornecedores!$A$4:$A$1988,"&lt;01/03/2022")</f>
        <v>0</v>
      </c>
      <c r="F14" s="22" t="e">
        <f t="shared" si="1"/>
        <v>#DIV/0!</v>
      </c>
      <c r="G14" s="8">
        <f>SUMIFS(Fornecedores!$D$4:$D$1988,Fornecedores!$E$4:$E$1988,'Dados Fornecedor'!$A14,Fornecedores!$A$4:$A$1988,"&gt;=01/03/2022",Fornecedores!$A$4:$A$1988,"&lt;01/04/2022")</f>
        <v>0</v>
      </c>
      <c r="H14" s="23" t="e">
        <f t="shared" si="2"/>
        <v>#DIV/0!</v>
      </c>
      <c r="I14" s="9">
        <f>SUMIFS(Fornecedores!$D$4:$D$1988,Fornecedores!$E$4:$E$1988,'Dados Fornecedor'!$A14,Fornecedores!$A$4:$A$1988,"&gt;=01/04/2022",Fornecedores!$A$4:$A$1988,"&lt;01/05/2022")</f>
        <v>0</v>
      </c>
      <c r="J14" s="24" t="e">
        <f t="shared" si="3"/>
        <v>#DIV/0!</v>
      </c>
      <c r="K14" s="10">
        <f>SUMIFS(Fornecedores!$D$4:$D$1988,Fornecedores!$E$4:$E$1988,'Dados Fornecedor'!$A14,Fornecedores!$A$4:$A$1988,"&gt;=01/05/2022",Fornecedores!$A$4:$A$1988,"&lt;01/06/2022")</f>
        <v>0</v>
      </c>
      <c r="L14" s="25" t="e">
        <f t="shared" si="4"/>
        <v>#DIV/0!</v>
      </c>
      <c r="M14" s="11">
        <f>SUMIFS(Fornecedores!$D$4:$D$1988,Fornecedores!$E$4:$E$1988,'Dados Fornecedor'!$A14,Fornecedores!$A$4:$A$1988,"&gt;=01/06/2022",Fornecedores!$A$4:$A$1988,"&lt;01/07/2022")</f>
        <v>0</v>
      </c>
      <c r="N14" s="26" t="e">
        <f t="shared" si="5"/>
        <v>#DIV/0!</v>
      </c>
      <c r="O14" s="12">
        <f>SUMIFS(Fornecedores!$D$4:$D$1988,Fornecedores!$E$4:$E$1988,'Dados Fornecedor'!$A14,Fornecedores!$A$4:$A$1988,"&gt;=01/07/2022",Fornecedores!$A$4:$A$1988,"&lt;01/08/2022")</f>
        <v>0</v>
      </c>
      <c r="P14" s="27" t="e">
        <f t="shared" si="6"/>
        <v>#DIV/0!</v>
      </c>
      <c r="Q14" s="13">
        <f>SUMIFS(Fornecedores!$D$4:$D$1988,Fornecedores!$E$4:$E$1988,'Dados Fornecedor'!$A14,Fornecedores!$A$4:$A$1988,"&gt;=01/08/2022",Fornecedores!$A$4:$A$1988,"&lt;01/09/2022")</f>
        <v>0</v>
      </c>
      <c r="R14" s="28" t="e">
        <f t="shared" si="7"/>
        <v>#DIV/0!</v>
      </c>
      <c r="S14" s="14">
        <f>SUMIFS(Fornecedores!$D$4:$D$1988,Fornecedores!$E$4:$E$1988,'Dados Fornecedor'!$A14,Fornecedores!$A$4:$A$1988,"&gt;=01/09/2022",Fornecedores!$A$4:$A$1988,"&lt;01/10/2022")</f>
        <v>0</v>
      </c>
      <c r="T14" s="29" t="e">
        <f t="shared" si="8"/>
        <v>#DIV/0!</v>
      </c>
      <c r="U14" s="15">
        <f>SUMIFS(Fornecedores!$D$4:$D$1988,Fornecedores!$E$4:$E$1988,'Dados Fornecedor'!$A14,Fornecedores!$A$4:$A$1988,"&gt;=01/10/2022",Fornecedores!$A$4:$A$1988,"&lt;01/11/2022")</f>
        <v>0</v>
      </c>
      <c r="V14" s="30" t="e">
        <f t="shared" si="9"/>
        <v>#DIV/0!</v>
      </c>
      <c r="W14" s="16">
        <f>SUMIFS(Fornecedores!$D$4:$D$1988,Fornecedores!$E$4:$E$1988,'Dados Fornecedor'!$A14,Fornecedores!$A$4:$A$1988,"&gt;=01/11/2022",Fornecedores!$A$4:$A$1988,"&lt;01/12/2022")</f>
        <v>0</v>
      </c>
      <c r="X14" s="31" t="e">
        <f t="shared" si="10"/>
        <v>#DIV/0!</v>
      </c>
      <c r="Y14" s="6">
        <f>SUMIFS(Fornecedores!$D$4:$D$1988,Fornecedores!$E$4:$E$1988,'Dados Fornecedor'!$A14,Fornecedores!$A$4:$A$1988,"&gt;=01/12/2022",Fornecedores!$A$4:$A$1988,"&lt;=31/12/2022")</f>
        <v>0</v>
      </c>
      <c r="Z14" s="64" t="e">
        <f t="shared" si="11"/>
        <v>#DIV/0!</v>
      </c>
    </row>
    <row r="15" spans="1:40" x14ac:dyDescent="0.25">
      <c r="A15" s="19"/>
      <c r="B15" s="33"/>
      <c r="C15" s="136">
        <f>SUMIFS(Fornecedores!$D$4:$D$1988,Fornecedores!$E$4:$E$1988,'Dados Fornecedor'!$A15,Fornecedores!$A$4:$A$1988,"&gt;=01/01/2022",Fornecedores!$A$4:$A$1988,"&lt;01/02/2022")</f>
        <v>0</v>
      </c>
      <c r="D15" s="21" t="e">
        <f t="shared" si="0"/>
        <v>#DIV/0!</v>
      </c>
      <c r="E15" s="7">
        <f>SUMIFS(Fornecedores!$D$4:$D$1988,Fornecedores!$E$4:$E$1988,'Dados Fornecedor'!$A15,Fornecedores!$A$4:$A$1988,"&gt;=01/02/2022",Fornecedores!$A$4:$A$1988,"&lt;01/03/2022")</f>
        <v>0</v>
      </c>
      <c r="F15" s="22" t="e">
        <f t="shared" si="1"/>
        <v>#DIV/0!</v>
      </c>
      <c r="G15" s="8">
        <f>SUMIFS(Fornecedores!$D$4:$D$1988,Fornecedores!$E$4:$E$1988,'Dados Fornecedor'!$A15,Fornecedores!$A$4:$A$1988,"&gt;=01/03/2022",Fornecedores!$A$4:$A$1988,"&lt;01/04/2022")</f>
        <v>0</v>
      </c>
      <c r="H15" s="23" t="e">
        <f t="shared" si="2"/>
        <v>#DIV/0!</v>
      </c>
      <c r="I15" s="9">
        <f>SUMIFS(Fornecedores!$D$4:$D$1988,Fornecedores!$E$4:$E$1988,'Dados Fornecedor'!$A15,Fornecedores!$A$4:$A$1988,"&gt;=01/04/2022",Fornecedores!$A$4:$A$1988,"&lt;01/05/2022")</f>
        <v>0</v>
      </c>
      <c r="J15" s="24" t="e">
        <f t="shared" si="3"/>
        <v>#DIV/0!</v>
      </c>
      <c r="K15" s="10">
        <f>SUMIFS(Fornecedores!$D$4:$D$1988,Fornecedores!$E$4:$E$1988,'Dados Fornecedor'!$A15,Fornecedores!$A$4:$A$1988,"&gt;=01/05/2022",Fornecedores!$A$4:$A$1988,"&lt;01/06/2022")</f>
        <v>0</v>
      </c>
      <c r="L15" s="25" t="e">
        <f t="shared" si="4"/>
        <v>#DIV/0!</v>
      </c>
      <c r="M15" s="11">
        <f>SUMIFS(Fornecedores!$D$4:$D$1988,Fornecedores!$E$4:$E$1988,'Dados Fornecedor'!$A15,Fornecedores!$A$4:$A$1988,"&gt;=01/06/2022",Fornecedores!$A$4:$A$1988,"&lt;01/07/2022")</f>
        <v>0</v>
      </c>
      <c r="N15" s="26" t="e">
        <f t="shared" si="5"/>
        <v>#DIV/0!</v>
      </c>
      <c r="O15" s="12">
        <f>SUMIFS(Fornecedores!$D$4:$D$1988,Fornecedores!$E$4:$E$1988,'Dados Fornecedor'!$A15,Fornecedores!$A$4:$A$1988,"&gt;=01/07/2022",Fornecedores!$A$4:$A$1988,"&lt;01/08/2022")</f>
        <v>0</v>
      </c>
      <c r="P15" s="27" t="e">
        <f t="shared" si="6"/>
        <v>#DIV/0!</v>
      </c>
      <c r="Q15" s="13">
        <f>SUMIFS(Fornecedores!$D$4:$D$1988,Fornecedores!$E$4:$E$1988,'Dados Fornecedor'!$A15,Fornecedores!$A$4:$A$1988,"&gt;=01/08/2022",Fornecedores!$A$4:$A$1988,"&lt;01/09/2022")</f>
        <v>0</v>
      </c>
      <c r="R15" s="28" t="e">
        <f t="shared" si="7"/>
        <v>#DIV/0!</v>
      </c>
      <c r="S15" s="14">
        <f>SUMIFS(Fornecedores!$D$4:$D$1988,Fornecedores!$E$4:$E$1988,'Dados Fornecedor'!$A15,Fornecedores!$A$4:$A$1988,"&gt;=01/09/2022",Fornecedores!$A$4:$A$1988,"&lt;01/10/2022")</f>
        <v>0</v>
      </c>
      <c r="T15" s="29" t="e">
        <f t="shared" si="8"/>
        <v>#DIV/0!</v>
      </c>
      <c r="U15" s="15">
        <f>SUMIFS(Fornecedores!$D$4:$D$1988,Fornecedores!$E$4:$E$1988,'Dados Fornecedor'!$A15,Fornecedores!$A$4:$A$1988,"&gt;=01/10/2022",Fornecedores!$A$4:$A$1988,"&lt;01/11/2022")</f>
        <v>0</v>
      </c>
      <c r="V15" s="30" t="e">
        <f t="shared" si="9"/>
        <v>#DIV/0!</v>
      </c>
      <c r="W15" s="16">
        <f>SUMIFS(Fornecedores!$D$4:$D$1988,Fornecedores!$E$4:$E$1988,'Dados Fornecedor'!$A15,Fornecedores!$A$4:$A$1988,"&gt;=01/11/2022",Fornecedores!$A$4:$A$1988,"&lt;01/12/2022")</f>
        <v>0</v>
      </c>
      <c r="X15" s="31" t="e">
        <f t="shared" si="10"/>
        <v>#DIV/0!</v>
      </c>
      <c r="Y15" s="6">
        <f>SUMIFS(Fornecedores!$D$4:$D$1988,Fornecedores!$E$4:$E$1988,'Dados Fornecedor'!$A15,Fornecedores!$A$4:$A$1988,"&gt;=01/12/2022",Fornecedores!$A$4:$A$1988,"&lt;=31/12/2022")</f>
        <v>0</v>
      </c>
      <c r="Z15" s="64" t="e">
        <f t="shared" si="11"/>
        <v>#DIV/0!</v>
      </c>
    </row>
    <row r="16" spans="1:40" x14ac:dyDescent="0.25">
      <c r="A16" s="19"/>
      <c r="B16" s="33"/>
      <c r="C16" s="136">
        <f>SUMIFS(Fornecedores!$D$4:$D$1988,Fornecedores!$E$4:$E$1988,'Dados Fornecedor'!$A16,Fornecedores!$A$4:$A$1988,"&gt;=01/01/2022",Fornecedores!$A$4:$A$1988,"&lt;01/02/2022")</f>
        <v>0</v>
      </c>
      <c r="D16" s="21" t="e">
        <f t="shared" si="0"/>
        <v>#DIV/0!</v>
      </c>
      <c r="E16" s="7">
        <f>SUMIFS(Fornecedores!$D$4:$D$1988,Fornecedores!$E$4:$E$1988,'Dados Fornecedor'!$A16,Fornecedores!$A$4:$A$1988,"&gt;=01/02/2022",Fornecedores!$A$4:$A$1988,"&lt;01/03/2022")</f>
        <v>0</v>
      </c>
      <c r="F16" s="22" t="e">
        <f t="shared" si="1"/>
        <v>#DIV/0!</v>
      </c>
      <c r="G16" s="8">
        <f>SUMIFS(Fornecedores!$D$4:$D$1988,Fornecedores!$E$4:$E$1988,'Dados Fornecedor'!$A16,Fornecedores!$A$4:$A$1988,"&gt;=01/03/2022",Fornecedores!$A$4:$A$1988,"&lt;01/04/2022")</f>
        <v>0</v>
      </c>
      <c r="H16" s="23" t="e">
        <f t="shared" si="2"/>
        <v>#DIV/0!</v>
      </c>
      <c r="I16" s="9">
        <f>SUMIFS(Fornecedores!$D$4:$D$1988,Fornecedores!$E$4:$E$1988,'Dados Fornecedor'!$A16,Fornecedores!$A$4:$A$1988,"&gt;=01/04/2022",Fornecedores!$A$4:$A$1988,"&lt;01/05/2022")</f>
        <v>0</v>
      </c>
      <c r="J16" s="24" t="e">
        <f t="shared" si="3"/>
        <v>#DIV/0!</v>
      </c>
      <c r="K16" s="10">
        <f>SUMIFS(Fornecedores!$D$4:$D$1988,Fornecedores!$E$4:$E$1988,'Dados Fornecedor'!$A16,Fornecedores!$A$4:$A$1988,"&gt;=01/05/2022",Fornecedores!$A$4:$A$1988,"&lt;01/06/2022")</f>
        <v>0</v>
      </c>
      <c r="L16" s="25" t="e">
        <f t="shared" si="4"/>
        <v>#DIV/0!</v>
      </c>
      <c r="M16" s="11">
        <f>SUMIFS(Fornecedores!$D$4:$D$1988,Fornecedores!$E$4:$E$1988,'Dados Fornecedor'!$A16,Fornecedores!$A$4:$A$1988,"&gt;=01/06/2022",Fornecedores!$A$4:$A$1988,"&lt;01/07/2022")</f>
        <v>0</v>
      </c>
      <c r="N16" s="26" t="e">
        <f t="shared" si="5"/>
        <v>#DIV/0!</v>
      </c>
      <c r="O16" s="12">
        <f>SUMIFS(Fornecedores!$D$4:$D$1988,Fornecedores!$E$4:$E$1988,'Dados Fornecedor'!$A16,Fornecedores!$A$4:$A$1988,"&gt;=01/07/2022",Fornecedores!$A$4:$A$1988,"&lt;01/08/2022")</f>
        <v>0</v>
      </c>
      <c r="P16" s="27" t="e">
        <f t="shared" si="6"/>
        <v>#DIV/0!</v>
      </c>
      <c r="Q16" s="13">
        <f>SUMIFS(Fornecedores!$D$4:$D$1988,Fornecedores!$E$4:$E$1988,'Dados Fornecedor'!$A16,Fornecedores!$A$4:$A$1988,"&gt;=01/08/2022",Fornecedores!$A$4:$A$1988,"&lt;01/09/2022")</f>
        <v>0</v>
      </c>
      <c r="R16" s="28" t="e">
        <f t="shared" si="7"/>
        <v>#DIV/0!</v>
      </c>
      <c r="S16" s="14">
        <f>SUMIFS(Fornecedores!$D$4:$D$1988,Fornecedores!$E$4:$E$1988,'Dados Fornecedor'!$A16,Fornecedores!$A$4:$A$1988,"&gt;=01/09/2022",Fornecedores!$A$4:$A$1988,"&lt;01/10/2022")</f>
        <v>0</v>
      </c>
      <c r="T16" s="29" t="e">
        <f t="shared" si="8"/>
        <v>#DIV/0!</v>
      </c>
      <c r="U16" s="15">
        <f>SUMIFS(Fornecedores!$D$4:$D$1988,Fornecedores!$E$4:$E$1988,'Dados Fornecedor'!$A16,Fornecedores!$A$4:$A$1988,"&gt;=01/10/2022",Fornecedores!$A$4:$A$1988,"&lt;01/11/2022")</f>
        <v>0</v>
      </c>
      <c r="V16" s="30" t="e">
        <f t="shared" si="9"/>
        <v>#DIV/0!</v>
      </c>
      <c r="W16" s="16">
        <f>SUMIFS(Fornecedores!$D$4:$D$1988,Fornecedores!$E$4:$E$1988,'Dados Fornecedor'!$A16,Fornecedores!$A$4:$A$1988,"&gt;=01/11/2022",Fornecedores!$A$4:$A$1988,"&lt;01/12/2022")</f>
        <v>0</v>
      </c>
      <c r="X16" s="31" t="e">
        <f t="shared" si="10"/>
        <v>#DIV/0!</v>
      </c>
      <c r="Y16" s="6">
        <f>SUMIFS(Fornecedores!$D$4:$D$1988,Fornecedores!$E$4:$E$1988,'Dados Fornecedor'!$A16,Fornecedores!$A$4:$A$1988,"&gt;=01/12/2022",Fornecedores!$A$4:$A$1988,"&lt;=31/12/2022")</f>
        <v>0</v>
      </c>
      <c r="Z16" s="64" t="e">
        <f t="shared" si="11"/>
        <v>#DIV/0!</v>
      </c>
    </row>
    <row r="17" spans="1:26" x14ac:dyDescent="0.25">
      <c r="A17" s="19"/>
      <c r="B17" s="33"/>
      <c r="C17" s="136">
        <f>SUMIFS(Fornecedores!$D$4:$D$1988,Fornecedores!$E$4:$E$1988,'Dados Fornecedor'!$A17,Fornecedores!$A$4:$A$1988,"&gt;=01/01/2022",Fornecedores!$A$4:$A$1988,"&lt;01/02/2022")</f>
        <v>0</v>
      </c>
      <c r="D17" s="21" t="e">
        <f t="shared" si="0"/>
        <v>#DIV/0!</v>
      </c>
      <c r="E17" s="7">
        <f>SUMIFS(Fornecedores!$D$4:$D$1988,Fornecedores!$E$4:$E$1988,'Dados Fornecedor'!$A17,Fornecedores!$A$4:$A$1988,"&gt;=01/02/2022",Fornecedores!$A$4:$A$1988,"&lt;01/03/2022")</f>
        <v>0</v>
      </c>
      <c r="F17" s="22" t="e">
        <f t="shared" si="1"/>
        <v>#DIV/0!</v>
      </c>
      <c r="G17" s="8">
        <f>SUMIFS(Fornecedores!$D$4:$D$1988,Fornecedores!$E$4:$E$1988,'Dados Fornecedor'!$A17,Fornecedores!$A$4:$A$1988,"&gt;=01/03/2022",Fornecedores!$A$4:$A$1988,"&lt;01/04/2022")</f>
        <v>0</v>
      </c>
      <c r="H17" s="23" t="e">
        <f t="shared" si="2"/>
        <v>#DIV/0!</v>
      </c>
      <c r="I17" s="9">
        <f>SUMIFS(Fornecedores!$D$4:$D$1988,Fornecedores!$E$4:$E$1988,'Dados Fornecedor'!$A17,Fornecedores!$A$4:$A$1988,"&gt;=01/04/2022",Fornecedores!$A$4:$A$1988,"&lt;01/05/2022")</f>
        <v>0</v>
      </c>
      <c r="J17" s="24" t="e">
        <f t="shared" si="3"/>
        <v>#DIV/0!</v>
      </c>
      <c r="K17" s="10">
        <f>SUMIFS(Fornecedores!$D$4:$D$1988,Fornecedores!$E$4:$E$1988,'Dados Fornecedor'!$A17,Fornecedores!$A$4:$A$1988,"&gt;=01/05/2022",Fornecedores!$A$4:$A$1988,"&lt;01/06/2022")</f>
        <v>0</v>
      </c>
      <c r="L17" s="25" t="e">
        <f t="shared" si="4"/>
        <v>#DIV/0!</v>
      </c>
      <c r="M17" s="11">
        <f>SUMIFS(Fornecedores!$D$4:$D$1988,Fornecedores!$E$4:$E$1988,'Dados Fornecedor'!$A17,Fornecedores!$A$4:$A$1988,"&gt;=01/06/2022",Fornecedores!$A$4:$A$1988,"&lt;01/07/2022")</f>
        <v>0</v>
      </c>
      <c r="N17" s="26" t="e">
        <f t="shared" si="5"/>
        <v>#DIV/0!</v>
      </c>
      <c r="O17" s="12">
        <f>SUMIFS(Fornecedores!$D$4:$D$1988,Fornecedores!$E$4:$E$1988,'Dados Fornecedor'!$A17,Fornecedores!$A$4:$A$1988,"&gt;=01/07/2022",Fornecedores!$A$4:$A$1988,"&lt;01/08/2022")</f>
        <v>0</v>
      </c>
      <c r="P17" s="27" t="e">
        <f t="shared" si="6"/>
        <v>#DIV/0!</v>
      </c>
      <c r="Q17" s="13">
        <f>SUMIFS(Fornecedores!$D$4:$D$1988,Fornecedores!$E$4:$E$1988,'Dados Fornecedor'!$A17,Fornecedores!$A$4:$A$1988,"&gt;=01/08/2022",Fornecedores!$A$4:$A$1988,"&lt;01/09/2022")</f>
        <v>0</v>
      </c>
      <c r="R17" s="28" t="e">
        <f t="shared" si="7"/>
        <v>#DIV/0!</v>
      </c>
      <c r="S17" s="14">
        <f>SUMIFS(Fornecedores!$D$4:$D$1988,Fornecedores!$E$4:$E$1988,'Dados Fornecedor'!$A17,Fornecedores!$A$4:$A$1988,"&gt;=01/09/2022",Fornecedores!$A$4:$A$1988,"&lt;01/10/2022")</f>
        <v>0</v>
      </c>
      <c r="T17" s="29" t="e">
        <f t="shared" si="8"/>
        <v>#DIV/0!</v>
      </c>
      <c r="U17" s="15">
        <f>SUMIFS(Fornecedores!$D$4:$D$1988,Fornecedores!$E$4:$E$1988,'Dados Fornecedor'!$A17,Fornecedores!$A$4:$A$1988,"&gt;=01/10/2022",Fornecedores!$A$4:$A$1988,"&lt;01/11/2022")</f>
        <v>0</v>
      </c>
      <c r="V17" s="30" t="e">
        <f t="shared" si="9"/>
        <v>#DIV/0!</v>
      </c>
      <c r="W17" s="16">
        <f>SUMIFS(Fornecedores!$D$4:$D$1988,Fornecedores!$E$4:$E$1988,'Dados Fornecedor'!$A17,Fornecedores!$A$4:$A$1988,"&gt;=01/11/2022",Fornecedores!$A$4:$A$1988,"&lt;01/12/2022")</f>
        <v>0</v>
      </c>
      <c r="X17" s="31" t="e">
        <f t="shared" si="10"/>
        <v>#DIV/0!</v>
      </c>
      <c r="Y17" s="6">
        <f>SUMIFS(Fornecedores!$D$4:$D$1988,Fornecedores!$E$4:$E$1988,'Dados Fornecedor'!$A17,Fornecedores!$A$4:$A$1988,"&gt;=01/12/2022",Fornecedores!$A$4:$A$1988,"&lt;=31/12/2022")</f>
        <v>0</v>
      </c>
      <c r="Z17" s="64" t="e">
        <f t="shared" si="11"/>
        <v>#DIV/0!</v>
      </c>
    </row>
    <row r="18" spans="1:26" x14ac:dyDescent="0.25">
      <c r="A18" s="19"/>
      <c r="B18" s="33"/>
      <c r="C18" s="136">
        <f>SUMIFS(Fornecedores!$D$4:$D$1988,Fornecedores!$E$4:$E$1988,'Dados Fornecedor'!$A18,Fornecedores!$A$4:$A$1988,"&gt;=01/01/2022",Fornecedores!$A$4:$A$1988,"&lt;01/02/2022")</f>
        <v>0</v>
      </c>
      <c r="D18" s="21" t="e">
        <f t="shared" si="0"/>
        <v>#DIV/0!</v>
      </c>
      <c r="E18" s="7">
        <f>SUMIFS(Fornecedores!$D$4:$D$1988,Fornecedores!$E$4:$E$1988,'Dados Fornecedor'!$A18,Fornecedores!$A$4:$A$1988,"&gt;=01/02/2022",Fornecedores!$A$4:$A$1988,"&lt;01/03/2022")</f>
        <v>0</v>
      </c>
      <c r="F18" s="22" t="e">
        <f t="shared" si="1"/>
        <v>#DIV/0!</v>
      </c>
      <c r="G18" s="8">
        <f>SUMIFS(Fornecedores!$D$4:$D$1988,Fornecedores!$E$4:$E$1988,'Dados Fornecedor'!$A18,Fornecedores!$A$4:$A$1988,"&gt;=01/03/2022",Fornecedores!$A$4:$A$1988,"&lt;01/04/2022")</f>
        <v>0</v>
      </c>
      <c r="H18" s="23" t="e">
        <f t="shared" si="2"/>
        <v>#DIV/0!</v>
      </c>
      <c r="I18" s="9">
        <f>SUMIFS(Fornecedores!$D$4:$D$1988,Fornecedores!$E$4:$E$1988,'Dados Fornecedor'!$A18,Fornecedores!$A$4:$A$1988,"&gt;=01/04/2022",Fornecedores!$A$4:$A$1988,"&lt;01/05/2022")</f>
        <v>0</v>
      </c>
      <c r="J18" s="24" t="e">
        <f t="shared" si="3"/>
        <v>#DIV/0!</v>
      </c>
      <c r="K18" s="10">
        <f>SUMIFS(Fornecedores!$D$4:$D$1988,Fornecedores!$E$4:$E$1988,'Dados Fornecedor'!$A18,Fornecedores!$A$4:$A$1988,"&gt;=01/05/2022",Fornecedores!$A$4:$A$1988,"&lt;01/06/2022")</f>
        <v>0</v>
      </c>
      <c r="L18" s="25" t="e">
        <f t="shared" si="4"/>
        <v>#DIV/0!</v>
      </c>
      <c r="M18" s="11">
        <f>SUMIFS(Fornecedores!$D$4:$D$1988,Fornecedores!$E$4:$E$1988,'Dados Fornecedor'!$A18,Fornecedores!$A$4:$A$1988,"&gt;=01/06/2022",Fornecedores!$A$4:$A$1988,"&lt;01/07/2022")</f>
        <v>0</v>
      </c>
      <c r="N18" s="26" t="e">
        <f t="shared" si="5"/>
        <v>#DIV/0!</v>
      </c>
      <c r="O18" s="12">
        <f>SUMIFS(Fornecedores!$D$4:$D$1988,Fornecedores!$E$4:$E$1988,'Dados Fornecedor'!$A18,Fornecedores!$A$4:$A$1988,"&gt;=01/07/2022",Fornecedores!$A$4:$A$1988,"&lt;01/08/2022")</f>
        <v>0</v>
      </c>
      <c r="P18" s="27" t="e">
        <f t="shared" si="6"/>
        <v>#DIV/0!</v>
      </c>
      <c r="Q18" s="13">
        <f>SUMIFS(Fornecedores!$D$4:$D$1988,Fornecedores!$E$4:$E$1988,'Dados Fornecedor'!$A18,Fornecedores!$A$4:$A$1988,"&gt;=01/08/2022",Fornecedores!$A$4:$A$1988,"&lt;01/09/2022")</f>
        <v>0</v>
      </c>
      <c r="R18" s="28" t="e">
        <f t="shared" si="7"/>
        <v>#DIV/0!</v>
      </c>
      <c r="S18" s="14">
        <f>SUMIFS(Fornecedores!$D$4:$D$1988,Fornecedores!$E$4:$E$1988,'Dados Fornecedor'!$A18,Fornecedores!$A$4:$A$1988,"&gt;=01/09/2022",Fornecedores!$A$4:$A$1988,"&lt;01/10/2022")</f>
        <v>0</v>
      </c>
      <c r="T18" s="29" t="e">
        <f t="shared" si="8"/>
        <v>#DIV/0!</v>
      </c>
      <c r="U18" s="15">
        <f>SUMIFS(Fornecedores!$D$4:$D$1988,Fornecedores!$E$4:$E$1988,'Dados Fornecedor'!$A18,Fornecedores!$A$4:$A$1988,"&gt;=01/10/2022",Fornecedores!$A$4:$A$1988,"&lt;01/11/2022")</f>
        <v>0</v>
      </c>
      <c r="V18" s="30" t="e">
        <f t="shared" si="9"/>
        <v>#DIV/0!</v>
      </c>
      <c r="W18" s="16">
        <f>SUMIFS(Fornecedores!$D$4:$D$1988,Fornecedores!$E$4:$E$1988,'Dados Fornecedor'!$A18,Fornecedores!$A$4:$A$1988,"&gt;=01/11/2022",Fornecedores!$A$4:$A$1988,"&lt;01/12/2022")</f>
        <v>0</v>
      </c>
      <c r="X18" s="31" t="e">
        <f t="shared" si="10"/>
        <v>#DIV/0!</v>
      </c>
      <c r="Y18" s="6">
        <f>SUMIFS(Fornecedores!$D$4:$D$1988,Fornecedores!$E$4:$E$1988,'Dados Fornecedor'!$A18,Fornecedores!$A$4:$A$1988,"&gt;=01/12/2022",Fornecedores!$A$4:$A$1988,"&lt;=31/12/2022")</f>
        <v>0</v>
      </c>
      <c r="Z18" s="64" t="e">
        <f t="shared" si="11"/>
        <v>#DIV/0!</v>
      </c>
    </row>
    <row r="19" spans="1:26" x14ac:dyDescent="0.25">
      <c r="A19" s="19"/>
      <c r="B19" s="33"/>
      <c r="C19" s="136">
        <f>SUMIFS(Fornecedores!$D$4:$D$1988,Fornecedores!$E$4:$E$1988,'Dados Fornecedor'!$A19,Fornecedores!$A$4:$A$1988,"&gt;=01/01/2022",Fornecedores!$A$4:$A$1988,"&lt;01/02/2022")</f>
        <v>0</v>
      </c>
      <c r="D19" s="21" t="e">
        <f t="shared" si="0"/>
        <v>#DIV/0!</v>
      </c>
      <c r="E19" s="7">
        <f>SUMIFS(Fornecedores!$D$4:$D$1988,Fornecedores!$E$4:$E$1988,'Dados Fornecedor'!$A19,Fornecedores!$A$4:$A$1988,"&gt;=01/02/2022",Fornecedores!$A$4:$A$1988,"&lt;01/03/2022")</f>
        <v>0</v>
      </c>
      <c r="F19" s="22" t="e">
        <f t="shared" si="1"/>
        <v>#DIV/0!</v>
      </c>
      <c r="G19" s="8">
        <f>SUMIFS(Fornecedores!$D$4:$D$1988,Fornecedores!$E$4:$E$1988,'Dados Fornecedor'!$A19,Fornecedores!$A$4:$A$1988,"&gt;=01/03/2022",Fornecedores!$A$4:$A$1988,"&lt;01/04/2022")</f>
        <v>0</v>
      </c>
      <c r="H19" s="23" t="e">
        <f t="shared" si="2"/>
        <v>#DIV/0!</v>
      </c>
      <c r="I19" s="9">
        <f>SUMIFS(Fornecedores!$D$4:$D$1988,Fornecedores!$E$4:$E$1988,'Dados Fornecedor'!$A19,Fornecedores!$A$4:$A$1988,"&gt;=01/04/2022",Fornecedores!$A$4:$A$1988,"&lt;01/05/2022")</f>
        <v>0</v>
      </c>
      <c r="J19" s="24" t="e">
        <f t="shared" si="3"/>
        <v>#DIV/0!</v>
      </c>
      <c r="K19" s="10">
        <f>SUMIFS(Fornecedores!$D$4:$D$1988,Fornecedores!$E$4:$E$1988,'Dados Fornecedor'!$A19,Fornecedores!$A$4:$A$1988,"&gt;=01/05/2022",Fornecedores!$A$4:$A$1988,"&lt;01/06/2022")</f>
        <v>0</v>
      </c>
      <c r="L19" s="25" t="e">
        <f t="shared" si="4"/>
        <v>#DIV/0!</v>
      </c>
      <c r="M19" s="11">
        <f>SUMIFS(Fornecedores!$D$4:$D$1988,Fornecedores!$E$4:$E$1988,'Dados Fornecedor'!$A19,Fornecedores!$A$4:$A$1988,"&gt;=01/06/2022",Fornecedores!$A$4:$A$1988,"&lt;01/07/2022")</f>
        <v>0</v>
      </c>
      <c r="N19" s="26" t="e">
        <f t="shared" si="5"/>
        <v>#DIV/0!</v>
      </c>
      <c r="O19" s="12">
        <f>SUMIFS(Fornecedores!$D$4:$D$1988,Fornecedores!$E$4:$E$1988,'Dados Fornecedor'!$A19,Fornecedores!$A$4:$A$1988,"&gt;=01/07/2022",Fornecedores!$A$4:$A$1988,"&lt;01/08/2022")</f>
        <v>0</v>
      </c>
      <c r="P19" s="27" t="e">
        <f t="shared" si="6"/>
        <v>#DIV/0!</v>
      </c>
      <c r="Q19" s="13">
        <f>SUMIFS(Fornecedores!$D$4:$D$1988,Fornecedores!$E$4:$E$1988,'Dados Fornecedor'!$A19,Fornecedores!$A$4:$A$1988,"&gt;=01/08/2022",Fornecedores!$A$4:$A$1988,"&lt;01/09/2022")</f>
        <v>0</v>
      </c>
      <c r="R19" s="28" t="e">
        <f t="shared" si="7"/>
        <v>#DIV/0!</v>
      </c>
      <c r="S19" s="14">
        <f>SUMIFS(Fornecedores!$D$4:$D$1988,Fornecedores!$E$4:$E$1988,'Dados Fornecedor'!$A19,Fornecedores!$A$4:$A$1988,"&gt;=01/09/2022",Fornecedores!$A$4:$A$1988,"&lt;01/10/2022")</f>
        <v>0</v>
      </c>
      <c r="T19" s="29" t="e">
        <f t="shared" si="8"/>
        <v>#DIV/0!</v>
      </c>
      <c r="U19" s="15">
        <f>SUMIFS(Fornecedores!$D$4:$D$1988,Fornecedores!$E$4:$E$1988,'Dados Fornecedor'!$A19,Fornecedores!$A$4:$A$1988,"&gt;=01/10/2022",Fornecedores!$A$4:$A$1988,"&lt;01/11/2022")</f>
        <v>0</v>
      </c>
      <c r="V19" s="30" t="e">
        <f t="shared" si="9"/>
        <v>#DIV/0!</v>
      </c>
      <c r="W19" s="16">
        <f>SUMIFS(Fornecedores!$D$4:$D$1988,Fornecedores!$E$4:$E$1988,'Dados Fornecedor'!$A19,Fornecedores!$A$4:$A$1988,"&gt;=01/11/2022",Fornecedores!$A$4:$A$1988,"&lt;01/12/2022")</f>
        <v>0</v>
      </c>
      <c r="X19" s="31" t="e">
        <f t="shared" si="10"/>
        <v>#DIV/0!</v>
      </c>
      <c r="Y19" s="6">
        <f>SUMIFS(Fornecedores!$D$4:$D$1988,Fornecedores!$E$4:$E$1988,'Dados Fornecedor'!$A19,Fornecedores!$A$4:$A$1988,"&gt;=01/12/2022",Fornecedores!$A$4:$A$1988,"&lt;=31/12/2022")</f>
        <v>0</v>
      </c>
      <c r="Z19" s="64" t="e">
        <f t="shared" si="11"/>
        <v>#DIV/0!</v>
      </c>
    </row>
    <row r="20" spans="1:26" x14ac:dyDescent="0.25">
      <c r="A20" s="19"/>
      <c r="B20" s="33"/>
      <c r="C20" s="136">
        <f>SUMIFS(Fornecedores!$D$4:$D$1988,Fornecedores!$E$4:$E$1988,'Dados Fornecedor'!$A20,Fornecedores!$A$4:$A$1988,"&gt;=01/01/2022",Fornecedores!$A$4:$A$1988,"&lt;01/02/2022")</f>
        <v>0</v>
      </c>
      <c r="D20" s="21" t="e">
        <f t="shared" si="0"/>
        <v>#DIV/0!</v>
      </c>
      <c r="E20" s="7">
        <f>SUMIFS(Fornecedores!$D$4:$D$1988,Fornecedores!$E$4:$E$1988,'Dados Fornecedor'!$A20,Fornecedores!$A$4:$A$1988,"&gt;=01/02/2022",Fornecedores!$A$4:$A$1988,"&lt;01/03/2022")</f>
        <v>0</v>
      </c>
      <c r="F20" s="22" t="e">
        <f t="shared" si="1"/>
        <v>#DIV/0!</v>
      </c>
      <c r="G20" s="8">
        <f>SUMIFS(Fornecedores!$D$4:$D$1988,Fornecedores!$E$4:$E$1988,'Dados Fornecedor'!$A20,Fornecedores!$A$4:$A$1988,"&gt;=01/03/2022",Fornecedores!$A$4:$A$1988,"&lt;01/04/2022")</f>
        <v>0</v>
      </c>
      <c r="H20" s="23" t="e">
        <f t="shared" si="2"/>
        <v>#DIV/0!</v>
      </c>
      <c r="I20" s="9">
        <f>SUMIFS(Fornecedores!$D$4:$D$1988,Fornecedores!$E$4:$E$1988,'Dados Fornecedor'!$A20,Fornecedores!$A$4:$A$1988,"&gt;=01/04/2022",Fornecedores!$A$4:$A$1988,"&lt;01/05/2022")</f>
        <v>0</v>
      </c>
      <c r="J20" s="24" t="e">
        <f t="shared" si="3"/>
        <v>#DIV/0!</v>
      </c>
      <c r="K20" s="10">
        <f>SUMIFS(Fornecedores!$D$4:$D$1988,Fornecedores!$E$4:$E$1988,'Dados Fornecedor'!$A20,Fornecedores!$A$4:$A$1988,"&gt;=01/05/2022",Fornecedores!$A$4:$A$1988,"&lt;01/06/2022")</f>
        <v>0</v>
      </c>
      <c r="L20" s="25" t="e">
        <f t="shared" si="4"/>
        <v>#DIV/0!</v>
      </c>
      <c r="M20" s="11">
        <f>SUMIFS(Fornecedores!$D$4:$D$1988,Fornecedores!$E$4:$E$1988,'Dados Fornecedor'!$A20,Fornecedores!$A$4:$A$1988,"&gt;=01/06/2022",Fornecedores!$A$4:$A$1988,"&lt;01/07/2022")</f>
        <v>0</v>
      </c>
      <c r="N20" s="26" t="e">
        <f t="shared" si="5"/>
        <v>#DIV/0!</v>
      </c>
      <c r="O20" s="12">
        <f>SUMIFS(Fornecedores!$D$4:$D$1988,Fornecedores!$E$4:$E$1988,'Dados Fornecedor'!$A20,Fornecedores!$A$4:$A$1988,"&gt;=01/07/2022",Fornecedores!$A$4:$A$1988,"&lt;01/08/2022")</f>
        <v>0</v>
      </c>
      <c r="P20" s="27" t="e">
        <f t="shared" si="6"/>
        <v>#DIV/0!</v>
      </c>
      <c r="Q20" s="13">
        <f>SUMIFS(Fornecedores!$D$4:$D$1988,Fornecedores!$E$4:$E$1988,'Dados Fornecedor'!$A20,Fornecedores!$A$4:$A$1988,"&gt;=01/08/2022",Fornecedores!$A$4:$A$1988,"&lt;01/09/2022")</f>
        <v>0</v>
      </c>
      <c r="R20" s="28" t="e">
        <f t="shared" si="7"/>
        <v>#DIV/0!</v>
      </c>
      <c r="S20" s="14">
        <f>SUMIFS(Fornecedores!$D$4:$D$1988,Fornecedores!$E$4:$E$1988,'Dados Fornecedor'!$A20,Fornecedores!$A$4:$A$1988,"&gt;=01/09/2022",Fornecedores!$A$4:$A$1988,"&lt;01/10/2022")</f>
        <v>0</v>
      </c>
      <c r="T20" s="29" t="e">
        <f t="shared" si="8"/>
        <v>#DIV/0!</v>
      </c>
      <c r="U20" s="15">
        <f>SUMIFS(Fornecedores!$D$4:$D$1988,Fornecedores!$E$4:$E$1988,'Dados Fornecedor'!$A20,Fornecedores!$A$4:$A$1988,"&gt;=01/10/2022",Fornecedores!$A$4:$A$1988,"&lt;01/11/2022")</f>
        <v>0</v>
      </c>
      <c r="V20" s="30" t="e">
        <f t="shared" si="9"/>
        <v>#DIV/0!</v>
      </c>
      <c r="W20" s="16">
        <f>SUMIFS(Fornecedores!$D$4:$D$1988,Fornecedores!$E$4:$E$1988,'Dados Fornecedor'!$A20,Fornecedores!$A$4:$A$1988,"&gt;=01/11/2022",Fornecedores!$A$4:$A$1988,"&lt;01/12/2022")</f>
        <v>0</v>
      </c>
      <c r="X20" s="31" t="e">
        <f t="shared" si="10"/>
        <v>#DIV/0!</v>
      </c>
      <c r="Y20" s="6">
        <f>SUMIFS(Fornecedores!$D$4:$D$1988,Fornecedores!$E$4:$E$1988,'Dados Fornecedor'!$A20,Fornecedores!$A$4:$A$1988,"&gt;=01/12/2022",Fornecedores!$A$4:$A$1988,"&lt;=31/12/2022")</f>
        <v>0</v>
      </c>
      <c r="Z20" s="64" t="e">
        <f t="shared" si="11"/>
        <v>#DIV/0!</v>
      </c>
    </row>
    <row r="21" spans="1:26" x14ac:dyDescent="0.25">
      <c r="A21" s="19"/>
      <c r="B21" s="33"/>
      <c r="C21" s="136">
        <f>SUMIFS(Fornecedores!$D$4:$D$1988,Fornecedores!$E$4:$E$1988,'Dados Fornecedor'!$A21,Fornecedores!$A$4:$A$1988,"&gt;=01/01/2022",Fornecedores!$A$4:$A$1988,"&lt;01/02/2022")</f>
        <v>0</v>
      </c>
      <c r="D21" s="21" t="e">
        <f t="shared" si="0"/>
        <v>#DIV/0!</v>
      </c>
      <c r="E21" s="7">
        <f>SUMIFS(Fornecedores!$D$4:$D$1988,Fornecedores!$E$4:$E$1988,'Dados Fornecedor'!$A21,Fornecedores!$A$4:$A$1988,"&gt;=01/02/2022",Fornecedores!$A$4:$A$1988,"&lt;01/03/2022")</f>
        <v>0</v>
      </c>
      <c r="F21" s="22" t="e">
        <f t="shared" si="1"/>
        <v>#DIV/0!</v>
      </c>
      <c r="G21" s="8">
        <f>SUMIFS(Fornecedores!$D$4:$D$1988,Fornecedores!$E$4:$E$1988,'Dados Fornecedor'!$A21,Fornecedores!$A$4:$A$1988,"&gt;=01/03/2022",Fornecedores!$A$4:$A$1988,"&lt;01/04/2022")</f>
        <v>0</v>
      </c>
      <c r="H21" s="23" t="e">
        <f t="shared" si="2"/>
        <v>#DIV/0!</v>
      </c>
      <c r="I21" s="9">
        <f>SUMIFS(Fornecedores!$D$4:$D$1988,Fornecedores!$E$4:$E$1988,'Dados Fornecedor'!$A21,Fornecedores!$A$4:$A$1988,"&gt;=01/04/2022",Fornecedores!$A$4:$A$1988,"&lt;01/05/2022")</f>
        <v>0</v>
      </c>
      <c r="J21" s="24" t="e">
        <f t="shared" si="3"/>
        <v>#DIV/0!</v>
      </c>
      <c r="K21" s="10">
        <f>SUMIFS(Fornecedores!$D$4:$D$1988,Fornecedores!$E$4:$E$1988,'Dados Fornecedor'!$A21,Fornecedores!$A$4:$A$1988,"&gt;=01/05/2022",Fornecedores!$A$4:$A$1988,"&lt;01/06/2022")</f>
        <v>0</v>
      </c>
      <c r="L21" s="25" t="e">
        <f t="shared" si="4"/>
        <v>#DIV/0!</v>
      </c>
      <c r="M21" s="11">
        <f>SUMIFS(Fornecedores!$D$4:$D$1988,Fornecedores!$E$4:$E$1988,'Dados Fornecedor'!$A21,Fornecedores!$A$4:$A$1988,"&gt;=01/06/2022",Fornecedores!$A$4:$A$1988,"&lt;01/07/2022")</f>
        <v>0</v>
      </c>
      <c r="N21" s="26" t="e">
        <f t="shared" si="5"/>
        <v>#DIV/0!</v>
      </c>
      <c r="O21" s="12">
        <f>SUMIFS(Fornecedores!$D$4:$D$1988,Fornecedores!$E$4:$E$1988,'Dados Fornecedor'!$A21,Fornecedores!$A$4:$A$1988,"&gt;=01/07/2022",Fornecedores!$A$4:$A$1988,"&lt;01/08/2022")</f>
        <v>0</v>
      </c>
      <c r="P21" s="27" t="e">
        <f t="shared" si="6"/>
        <v>#DIV/0!</v>
      </c>
      <c r="Q21" s="13">
        <f>SUMIFS(Fornecedores!$D$4:$D$1988,Fornecedores!$E$4:$E$1988,'Dados Fornecedor'!$A21,Fornecedores!$A$4:$A$1988,"&gt;=01/08/2022",Fornecedores!$A$4:$A$1988,"&lt;01/09/2022")</f>
        <v>0</v>
      </c>
      <c r="R21" s="28" t="e">
        <f t="shared" si="7"/>
        <v>#DIV/0!</v>
      </c>
      <c r="S21" s="14">
        <f>SUMIFS(Fornecedores!$D$4:$D$1988,Fornecedores!$E$4:$E$1988,'Dados Fornecedor'!$A21,Fornecedores!$A$4:$A$1988,"&gt;=01/09/2022",Fornecedores!$A$4:$A$1988,"&lt;01/10/2022")</f>
        <v>0</v>
      </c>
      <c r="T21" s="29" t="e">
        <f t="shared" si="8"/>
        <v>#DIV/0!</v>
      </c>
      <c r="U21" s="15">
        <f>SUMIFS(Fornecedores!$D$4:$D$1988,Fornecedores!$E$4:$E$1988,'Dados Fornecedor'!$A21,Fornecedores!$A$4:$A$1988,"&gt;=01/10/2022",Fornecedores!$A$4:$A$1988,"&lt;01/11/2022")</f>
        <v>0</v>
      </c>
      <c r="V21" s="30" t="e">
        <f t="shared" si="9"/>
        <v>#DIV/0!</v>
      </c>
      <c r="W21" s="16">
        <f>SUMIFS(Fornecedores!$D$4:$D$1988,Fornecedores!$E$4:$E$1988,'Dados Fornecedor'!$A21,Fornecedores!$A$4:$A$1988,"&gt;=01/11/2022",Fornecedores!$A$4:$A$1988,"&lt;01/12/2022")</f>
        <v>0</v>
      </c>
      <c r="X21" s="31" t="e">
        <f t="shared" si="10"/>
        <v>#DIV/0!</v>
      </c>
      <c r="Y21" s="6">
        <f>SUMIFS(Fornecedores!$D$4:$D$1988,Fornecedores!$E$4:$E$1988,'Dados Fornecedor'!$A21,Fornecedores!$A$4:$A$1988,"&gt;=01/12/2022",Fornecedores!$A$4:$A$1988,"&lt;=31/12/2022")</f>
        <v>0</v>
      </c>
      <c r="Z21" s="64" t="e">
        <f t="shared" si="11"/>
        <v>#DIV/0!</v>
      </c>
    </row>
    <row r="22" spans="1:26" ht="15.75" thickBot="1" x14ac:dyDescent="0.3">
      <c r="A22" s="20"/>
      <c r="B22" s="134"/>
      <c r="C22" s="137">
        <f>SUMIFS(Fornecedores!$D$4:$D$1988,Fornecedores!$E$4:$E$1988,'Dados Fornecedor'!$A22,Fornecedores!$A$4:$A$1988,"&gt;=01/01/2022",Fornecedores!$A$4:$A$1988,"&lt;01/02/2022")</f>
        <v>0</v>
      </c>
      <c r="D22" s="66" t="e">
        <f t="shared" si="0"/>
        <v>#DIV/0!</v>
      </c>
      <c r="E22" s="67">
        <f>SUMIFS(Fornecedores!$D$4:$D$1988,Fornecedores!$E$4:$E$1988,'Dados Fornecedor'!$A22,Fornecedores!$A$4:$A$1988,"&gt;=01/02/2022",Fornecedores!$A$4:$A$1988,"&lt;01/03/2022")</f>
        <v>0</v>
      </c>
      <c r="F22" s="68" t="e">
        <f t="shared" si="1"/>
        <v>#DIV/0!</v>
      </c>
      <c r="G22" s="69">
        <f>SUMIFS(Fornecedores!$D$4:$D$1988,Fornecedores!$E$4:$E$1988,'Dados Fornecedor'!$A22,Fornecedores!$A$4:$A$1988,"&gt;=01/03/2022",Fornecedores!$A$4:$A$1988,"&lt;01/04/2022")</f>
        <v>0</v>
      </c>
      <c r="H22" s="70" t="e">
        <f t="shared" si="2"/>
        <v>#DIV/0!</v>
      </c>
      <c r="I22" s="71">
        <f>SUMIFS(Fornecedores!$D$4:$D$1988,Fornecedores!$E$4:$E$1988,'Dados Fornecedor'!$A22,Fornecedores!$A$4:$A$1988,"&gt;=01/04/2022",Fornecedores!$A$4:$A$1988,"&lt;01/05/2022")</f>
        <v>0</v>
      </c>
      <c r="J22" s="72" t="e">
        <f t="shared" si="3"/>
        <v>#DIV/0!</v>
      </c>
      <c r="K22" s="73">
        <f>SUMIFS(Fornecedores!$D$4:$D$1988,Fornecedores!$E$4:$E$1988,'Dados Fornecedor'!$A22,Fornecedores!$A$4:$A$1988,"&gt;=01/05/2022",Fornecedores!$A$4:$A$1988,"&lt;01/06/2022")</f>
        <v>0</v>
      </c>
      <c r="L22" s="74" t="e">
        <f t="shared" si="4"/>
        <v>#DIV/0!</v>
      </c>
      <c r="M22" s="75">
        <f>SUMIFS(Fornecedores!$D$4:$D$1988,Fornecedores!$E$4:$E$1988,'Dados Fornecedor'!$A22,Fornecedores!$A$4:$A$1988,"&gt;=01/06/2022",Fornecedores!$A$4:$A$1988,"&lt;01/07/2022")</f>
        <v>0</v>
      </c>
      <c r="N22" s="76" t="e">
        <f t="shared" si="5"/>
        <v>#DIV/0!</v>
      </c>
      <c r="O22" s="77">
        <f>SUMIFS(Fornecedores!$D$4:$D$1988,Fornecedores!$E$4:$E$1988,'Dados Fornecedor'!$A22,Fornecedores!$A$4:$A$1988,"&gt;=01/07/2022",Fornecedores!$A$4:$A$1988,"&lt;01/08/2022")</f>
        <v>0</v>
      </c>
      <c r="P22" s="78" t="e">
        <f t="shared" si="6"/>
        <v>#DIV/0!</v>
      </c>
      <c r="Q22" s="79">
        <f>SUMIFS(Fornecedores!$D$4:$D$1988,Fornecedores!$E$4:$E$1988,'Dados Fornecedor'!$A22,Fornecedores!$A$4:$A$1988,"&gt;=01/08/2022",Fornecedores!$A$4:$A$1988,"&lt;01/09/2022")</f>
        <v>0</v>
      </c>
      <c r="R22" s="80" t="e">
        <f t="shared" si="7"/>
        <v>#DIV/0!</v>
      </c>
      <c r="S22" s="81">
        <f>SUMIFS(Fornecedores!$D$4:$D$1988,Fornecedores!$E$4:$E$1988,'Dados Fornecedor'!$A22,Fornecedores!$A$4:$A$1988,"&gt;=01/09/2022",Fornecedores!$A$4:$A$1988,"&lt;01/10/2022")</f>
        <v>0</v>
      </c>
      <c r="T22" s="82" t="e">
        <f t="shared" si="8"/>
        <v>#DIV/0!</v>
      </c>
      <c r="U22" s="83">
        <f>SUMIFS(Fornecedores!$D$4:$D$1988,Fornecedores!$E$4:$E$1988,'Dados Fornecedor'!$A22,Fornecedores!$A$4:$A$1988,"&gt;=01/10/2022",Fornecedores!$A$4:$A$1988,"&lt;01/11/2022")</f>
        <v>0</v>
      </c>
      <c r="V22" s="84" t="e">
        <f t="shared" si="9"/>
        <v>#DIV/0!</v>
      </c>
      <c r="W22" s="85">
        <f>SUMIFS(Fornecedores!$D$4:$D$1988,Fornecedores!$E$4:$E$1988,'Dados Fornecedor'!$A22,Fornecedores!$A$4:$A$1988,"&gt;=01/11/2022",Fornecedores!$A$4:$A$1988,"&lt;01/12/2022")</f>
        <v>0</v>
      </c>
      <c r="X22" s="86" t="e">
        <f t="shared" si="10"/>
        <v>#DIV/0!</v>
      </c>
      <c r="Y22" s="87">
        <f>SUMIFS(Fornecedores!$D$4:$D$1988,Fornecedores!$E$4:$E$1988,'Dados Fornecedor'!$A22,Fornecedores!$A$4:$A$1988,"&gt;=01/12/2022",Fornecedores!$A$4:$A$1988,"&lt;=31/12/2022")</f>
        <v>0</v>
      </c>
      <c r="Z22" s="88" t="e">
        <f t="shared" si="11"/>
        <v>#DIV/0!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>
    <tabColor rgb="FFFFFF00"/>
  </sheetPr>
  <dimension ref="A1:AN1048576"/>
  <sheetViews>
    <sheetView workbookViewId="0">
      <selection activeCell="A2" sqref="A2"/>
    </sheetView>
  </sheetViews>
  <sheetFormatPr defaultRowHeight="15" x14ac:dyDescent="0.25"/>
  <cols>
    <col min="1" max="1" width="12.7109375" customWidth="1"/>
  </cols>
  <sheetData>
    <row r="1" spans="1:40" ht="15.75" thickBot="1" x14ac:dyDescent="0.3">
      <c r="A1" s="5" t="s">
        <v>23</v>
      </c>
      <c r="B1" s="138"/>
      <c r="C1" s="5" t="s">
        <v>9</v>
      </c>
      <c r="D1" s="130" t="s">
        <v>24</v>
      </c>
      <c r="E1" s="130" t="s">
        <v>10</v>
      </c>
      <c r="F1" s="130" t="s">
        <v>24</v>
      </c>
      <c r="G1" s="130" t="s">
        <v>11</v>
      </c>
      <c r="H1" s="130" t="s">
        <v>24</v>
      </c>
      <c r="I1" s="130" t="s">
        <v>12</v>
      </c>
      <c r="J1" s="130" t="s">
        <v>24</v>
      </c>
      <c r="K1" s="130" t="s">
        <v>13</v>
      </c>
      <c r="L1" s="130" t="s">
        <v>24</v>
      </c>
      <c r="M1" s="130" t="s">
        <v>14</v>
      </c>
      <c r="N1" s="130" t="s">
        <v>24</v>
      </c>
      <c r="O1" s="130" t="s">
        <v>15</v>
      </c>
      <c r="P1" s="130" t="s">
        <v>24</v>
      </c>
      <c r="Q1" s="130" t="s">
        <v>16</v>
      </c>
      <c r="R1" s="130" t="s">
        <v>24</v>
      </c>
      <c r="S1" s="130" t="s">
        <v>17</v>
      </c>
      <c r="T1" s="130" t="s">
        <v>24</v>
      </c>
      <c r="U1" s="130" t="s">
        <v>18</v>
      </c>
      <c r="V1" s="130" t="s">
        <v>24</v>
      </c>
      <c r="W1" s="130" t="s">
        <v>19</v>
      </c>
      <c r="X1" s="130" t="s">
        <v>24</v>
      </c>
      <c r="Y1" s="130" t="s">
        <v>20</v>
      </c>
      <c r="Z1" s="131" t="s">
        <v>24</v>
      </c>
      <c r="AB1" s="3"/>
      <c r="AC1" s="17" t="s">
        <v>9</v>
      </c>
      <c r="AD1" s="17" t="s">
        <v>10</v>
      </c>
      <c r="AE1" s="17" t="s">
        <v>11</v>
      </c>
      <c r="AF1" s="17" t="s">
        <v>12</v>
      </c>
      <c r="AG1" s="17" t="s">
        <v>13</v>
      </c>
      <c r="AH1" s="17" t="s">
        <v>14</v>
      </c>
      <c r="AI1" s="17" t="s">
        <v>15</v>
      </c>
      <c r="AJ1" s="17" t="s">
        <v>16</v>
      </c>
      <c r="AK1" s="17" t="s">
        <v>17</v>
      </c>
      <c r="AL1" s="17" t="s">
        <v>18</v>
      </c>
      <c r="AM1" s="17" t="s">
        <v>19</v>
      </c>
      <c r="AN1" s="17" t="s">
        <v>20</v>
      </c>
    </row>
    <row r="2" spans="1:40" ht="15.75" thickBot="1" x14ac:dyDescent="0.3">
      <c r="A2" s="129"/>
      <c r="B2" s="139"/>
      <c r="C2" s="135">
        <f>SUMIFS(Terceiros!$D$4:$D$1985,Terceiros!$E$4:$E$1985,'Dados Terceiros'!$A2,Terceiros!$A$4:$A$1985,"&gt;=01/01/2022",Terceiros!$A$4:$A$1985,"&lt;01/02/2022")</f>
        <v>0</v>
      </c>
      <c r="D2" s="89" t="e">
        <f>$C2/$AC$2</f>
        <v>#DIV/0!</v>
      </c>
      <c r="E2" s="90">
        <f>SUMIFS(Terceiros!$D$4:$D$1985,Terceiros!$E$4:$E$1985,'Dados Terceiros'!$A2,Terceiros!$A$4:$A$1985,"&gt;=01/02/2022",Terceiros!$A$4:$A$1985,"&lt;01/03/2022")</f>
        <v>0</v>
      </c>
      <c r="F2" s="91" t="e">
        <f>$E2/$AD$2</f>
        <v>#DIV/0!</v>
      </c>
      <c r="G2" s="92">
        <f>SUMIFS(Terceiros!$D$4:$D$1985,Terceiros!$E$4:$E$1985,'Dados Terceiros'!$A2,Terceiros!$A$4:$A$1985,"&gt;=01/03/2022",Terceiros!$A$4:$A$1985,"&lt;01/04/2022")</f>
        <v>0</v>
      </c>
      <c r="H2" s="93" t="e">
        <f>$G2/$AE$2</f>
        <v>#DIV/0!</v>
      </c>
      <c r="I2" s="94">
        <f>SUMIFS(Terceiros!$D$4:$D$1985,Terceiros!$E$4:$E$1985,'Dados Terceiros'!$A2,Terceiros!$A$4:$A$1985,"&gt;=01/04/2022",Terceiros!$A$4:$A$1985,"&lt;01/05/2022")</f>
        <v>0</v>
      </c>
      <c r="J2" s="95" t="e">
        <f>$I2/$AF$2</f>
        <v>#DIV/0!</v>
      </c>
      <c r="K2" s="96">
        <f>SUMIFS(Terceiros!$D$4:$D$1985,Terceiros!$E$4:$E$1985,'Dados Terceiros'!$A2,Terceiros!$A$4:$A$1985,"&gt;=01/05/2022",Terceiros!$A$4:$A$1985,"&lt;01/06/2022")</f>
        <v>0</v>
      </c>
      <c r="L2" s="97" t="e">
        <f>$K2/$AG$2</f>
        <v>#DIV/0!</v>
      </c>
      <c r="M2" s="98">
        <f>SUMIFS(Terceiros!$D$4:$D$1985,Terceiros!$E$4:$E$1985,'Dados Terceiros'!$A2,Terceiros!$A$4:$A$1985,"&gt;=01/06/2022",Terceiros!$A$4:$A$1985,"&lt;01/07/2022")</f>
        <v>0</v>
      </c>
      <c r="N2" s="99" t="e">
        <f>$M2/$AH$2</f>
        <v>#DIV/0!</v>
      </c>
      <c r="O2" s="100">
        <f>SUMIFS(Terceiros!$D$4:$D$1985,Terceiros!$E$4:$E$1985,'Dados Terceiros'!$A2,Terceiros!$A$4:$A$1985,"&gt;=01/07/2022",Terceiros!$A$4:$A$1985,"&lt;01/08/2022")</f>
        <v>0</v>
      </c>
      <c r="P2" s="101" t="e">
        <f>$O2/$AI$2</f>
        <v>#DIV/0!</v>
      </c>
      <c r="Q2" s="102">
        <f>SUMIFS(Terceiros!$D$4:$D$1985,Terceiros!$E$4:$E$1985,'Dados Terceiros'!$A2,Terceiros!$A$4:$A$1985,"&gt;=01/08/2022",Terceiros!$A$4:$A$1985,"&lt;01/09/2022")</f>
        <v>0</v>
      </c>
      <c r="R2" s="103" t="e">
        <f>$Q2/$AJ$2</f>
        <v>#DIV/0!</v>
      </c>
      <c r="S2" s="104">
        <f>SUMIFS(Terceiros!$D$4:$D$1985,Terceiros!$E$4:$E$1985,'Dados Terceiros'!$A2,Terceiros!$A$4:$A$1985,"&gt;=01/09/2022",Terceiros!$A$4:$A$1985,"&lt;01/10/2022")</f>
        <v>0</v>
      </c>
      <c r="T2" s="105" t="e">
        <f>$S2/$AK$2</f>
        <v>#DIV/0!</v>
      </c>
      <c r="U2" s="106">
        <f>SUMIFS(Terceiros!$D$4:$D$1985,Terceiros!$E$4:$E$1985,'Dados Terceiros'!$A2,Terceiros!$A$4:$A$1985,"&gt;=01/10/2022",Terceiros!$A$4:$A$1985,"&lt;01/11/2022")</f>
        <v>0</v>
      </c>
      <c r="V2" s="107" t="e">
        <f>$U2/$AL$2</f>
        <v>#DIV/0!</v>
      </c>
      <c r="W2" s="108">
        <f>SUMIFS(Terceiros!$D$4:$D$1985,Terceiros!$E$4:$E$1985,'Dados Terceiros'!$A2,Terceiros!$A$4:$A$1985,"&gt;=01/11/2022",Terceiros!$A$4:$A$1985,"&lt;01/12/2022")</f>
        <v>0</v>
      </c>
      <c r="X2" s="109" t="e">
        <f>$W2/$AM$2</f>
        <v>#DIV/0!</v>
      </c>
      <c r="Y2" s="110">
        <f>SUMIFS(Terceiros!$D$4:$D$1985,Terceiros!$E$4:$E$1985,'Dados Terceiros'!$A2,Terceiros!$A$4:$A$1985,"&gt;=01/12/2022",Terceiros!$A$4:$A$1985,"&lt;=31/12/2022")</f>
        <v>0</v>
      </c>
      <c r="Z2" s="111" t="e">
        <f>$Y2/$AN$2</f>
        <v>#DIV/0!</v>
      </c>
      <c r="AB2" s="4" t="s">
        <v>25</v>
      </c>
      <c r="AC2" s="18">
        <f>SUMIFS(Terceiros!$D$4:$D$1982,Terceiros!$A$4:$A$1982,"&gt;=01/01/2022",Terceiros!$A$4:$A$1982,"&lt;01/02/2022")</f>
        <v>0</v>
      </c>
      <c r="AD2" s="18">
        <f>SUMIFS(Terceiros!$D$4:$D$1982,Terceiros!$A$4:$A$1982,"&gt;=01/02/2022",Terceiros!$A$4:$A$1982,"&lt;01/03/2022")</f>
        <v>0</v>
      </c>
      <c r="AE2" s="18">
        <f>SUMIFS(Terceiros!$D$4:$D$1982,Terceiros!$A$4:$A$1982,"&gt;=01/03/2022",Terceiros!$A$4:$A$1982,"&lt;01/04/2022")</f>
        <v>0</v>
      </c>
      <c r="AF2" s="18">
        <f>SUMIFS(Terceiros!$D$4:$D$1982,Terceiros!$A$4:$A$1982,"&gt;=01/04/2022",Terceiros!$A$4:$A$1982,"&lt;01/05/2022")</f>
        <v>0</v>
      </c>
      <c r="AG2" s="18">
        <f>SUMIFS(Terceiros!$D$4:$D$1982,Terceiros!$A$4:$A$1982,"&gt;=01/05/2022",Terceiros!$A$4:$A$1982,"&lt;01/06/2022")</f>
        <v>0</v>
      </c>
      <c r="AH2" s="18">
        <f>SUMIFS(Terceiros!$D$4:$D$1982,Terceiros!$A$4:$A$1982,"&gt;=01/06/2022",Terceiros!$A$4:$A$1982,"&lt;01/07/2022")</f>
        <v>0</v>
      </c>
      <c r="AI2" s="18">
        <f>SUMIFS(Terceiros!$D$4:$D$1982,Terceiros!$A$4:$A$1982,"&gt;=01/07/2022",Terceiros!$A$4:$A$1982,"&lt;01/08/2022")</f>
        <v>0</v>
      </c>
      <c r="AJ2" s="18">
        <f>SUMIFS(Terceiros!$D$4:$D$1982,Terceiros!$A$4:$A$1982,"&gt;=01/08/2022",Terceiros!$A$4:$A$1982,"&lt;01/09/2022")</f>
        <v>0</v>
      </c>
      <c r="AK2" s="18">
        <f>SUMIFS(Terceiros!$D$4:$D$1982,Terceiros!$A$4:$A$1982,"&gt;=01/09/2022",Terceiros!$A$4:$A$1982,"&lt;01/10/2022")</f>
        <v>0</v>
      </c>
      <c r="AL2" s="18">
        <f>SUMIFS(Terceiros!$D$4:$D$1982,Terceiros!$A$4:$A$1982,"&gt;=01/10/2022",Terceiros!$A$4:$A$1982,"&lt;01/11/2022")</f>
        <v>0</v>
      </c>
      <c r="AM2" s="18">
        <f>SUMIFS(Terceiros!$D$4:$D$1982,Terceiros!$A$4:$A$1982,"&gt;=01/11/2022",Terceiros!$A$4:$A$1982,"&lt;01/12/2022")</f>
        <v>0</v>
      </c>
      <c r="AN2" s="18">
        <f>SUMIFS(Terceiros!$D$4:$D$1982,Terceiros!$A$4:$A$1982,"&gt;=01/12/2022",Terceiros!$A$4:$A$1982,"&lt;=31/12/2022")</f>
        <v>0</v>
      </c>
    </row>
    <row r="3" spans="1:40" x14ac:dyDescent="0.25">
      <c r="A3" s="19"/>
      <c r="B3" s="140"/>
      <c r="C3" s="136">
        <f>SUMIFS(Terceiros!$D$4:$D$1985,Terceiros!$E$4:$E$1985,'Dados Terceiros'!$A3,Terceiros!$A$4:$A$1985,"&gt;=01/01/2022",Terceiros!$A$4:$A$1985,"&lt;01/02/2022")</f>
        <v>0</v>
      </c>
      <c r="D3" s="21" t="e">
        <f t="shared" ref="D3:D22" si="0">$C3/$AC$2</f>
        <v>#DIV/0!</v>
      </c>
      <c r="E3" s="7">
        <f>SUMIFS(Terceiros!$D$4:$D$1985,Terceiros!$E$4:$E$1985,'Dados Terceiros'!$A3,Terceiros!$A$4:$A$1985,"&gt;=01/02/2022",Terceiros!$A$4:$A$1985,"&lt;01/03/2022")</f>
        <v>0</v>
      </c>
      <c r="F3" s="22" t="e">
        <f t="shared" ref="F3:F21" si="1">$E3/$AD$2</f>
        <v>#DIV/0!</v>
      </c>
      <c r="G3" s="8">
        <f>SUMIFS(Terceiros!$D$4:$D$1985,Terceiros!$E$4:$E$1985,'Dados Terceiros'!$A3,Terceiros!$A$4:$A$1985,"&gt;=01/03/2022",Terceiros!$A$4:$A$1985,"&lt;01/04/2022")</f>
        <v>0</v>
      </c>
      <c r="H3" s="23" t="e">
        <f t="shared" ref="H3:H22" si="2">$G3/$AE$2</f>
        <v>#DIV/0!</v>
      </c>
      <c r="I3" s="9">
        <f>SUMIFS(Terceiros!$D$4:$D$1985,Terceiros!$E$4:$E$1985,'Dados Terceiros'!$A3,Terceiros!$A$4:$A$1985,"&gt;=01/04/2022",Terceiros!$A$4:$A$1985,"&lt;01/05/2022")</f>
        <v>0</v>
      </c>
      <c r="J3" s="24" t="e">
        <f t="shared" ref="J3:J22" si="3">$I3/$AF$2</f>
        <v>#DIV/0!</v>
      </c>
      <c r="K3" s="10">
        <f>SUMIFS(Terceiros!$D$4:$D$1985,Terceiros!$E$4:$E$1985,'Dados Terceiros'!$A3,Terceiros!$A$4:$A$1985,"&gt;=01/05/2022",Terceiros!$A$4:$A$1985,"&lt;01/06/2022")</f>
        <v>0</v>
      </c>
      <c r="L3" s="25" t="e">
        <f t="shared" ref="L3:L22" si="4">$K3/$AG$2</f>
        <v>#DIV/0!</v>
      </c>
      <c r="M3" s="11">
        <f>SUMIFS(Terceiros!$D$4:$D$1985,Terceiros!$E$4:$E$1985,'Dados Terceiros'!$A3,Terceiros!$A$4:$A$1985,"&gt;=01/06/2022",Terceiros!$A$4:$A$1985,"&lt;01/07/2022")</f>
        <v>0</v>
      </c>
      <c r="N3" s="26" t="e">
        <f t="shared" ref="N3:N22" si="5">$M3/$AH$2</f>
        <v>#DIV/0!</v>
      </c>
      <c r="O3" s="12">
        <f>SUMIFS(Terceiros!$D$4:$D$1985,Terceiros!$E$4:$E$1985,'Dados Terceiros'!$A3,Terceiros!$A$4:$A$1985,"&gt;=01/07/2022",Terceiros!$A$4:$A$1985,"&lt;01/08/2022")</f>
        <v>0</v>
      </c>
      <c r="P3" s="27" t="e">
        <f t="shared" ref="P3:P22" si="6">$O3/$AI$2</f>
        <v>#DIV/0!</v>
      </c>
      <c r="Q3" s="13">
        <f>SUMIFS(Terceiros!$D$4:$D$1985,Terceiros!$E$4:$E$1985,'Dados Terceiros'!$A3,Terceiros!$A$4:$A$1985,"&gt;=01/08/2022",Terceiros!$A$4:$A$1985,"&lt;01/09/2022")</f>
        <v>0</v>
      </c>
      <c r="R3" s="28" t="e">
        <f t="shared" ref="R3:R22" si="7">$Q3/$AJ$2</f>
        <v>#DIV/0!</v>
      </c>
      <c r="S3" s="14">
        <f>SUMIFS(Terceiros!$D$4:$D$1985,Terceiros!$E$4:$E$1985,'Dados Terceiros'!$A3,Terceiros!$A$4:$A$1985,"&gt;=01/09/2022",Terceiros!$A$4:$A$1985,"&lt;01/10/2022")</f>
        <v>0</v>
      </c>
      <c r="T3" s="29" t="e">
        <f t="shared" ref="T3:T22" si="8">$S3/$AK$2</f>
        <v>#DIV/0!</v>
      </c>
      <c r="U3" s="15">
        <f>SUMIFS(Terceiros!$D$4:$D$1985,Terceiros!$E$4:$E$1985,'Dados Terceiros'!$A3,Terceiros!$A$4:$A$1985,"&gt;=01/10/2022",Terceiros!$A$4:$A$1985,"&lt;01/11/2022")</f>
        <v>0</v>
      </c>
      <c r="V3" s="30" t="e">
        <f t="shared" ref="V3:V22" si="9">$U3/$AL$2</f>
        <v>#DIV/0!</v>
      </c>
      <c r="W3" s="16">
        <f>SUMIFS(Terceiros!$D$4:$D$1985,Terceiros!$E$4:$E$1985,'Dados Terceiros'!$A3,Terceiros!$A$4:$A$1985,"&gt;=01/11/2022",Terceiros!$A$4:$A$1985,"&lt;01/12/2022")</f>
        <v>0</v>
      </c>
      <c r="X3" s="31" t="e">
        <f t="shared" ref="X3:X22" si="10">$W3/$AM$2</f>
        <v>#DIV/0!</v>
      </c>
      <c r="Y3" s="6">
        <f>SUMIFS(Terceiros!$D$4:$D$1985,Terceiros!$E$4:$E$1985,'Dados Terceiros'!$A3,Terceiros!$A$4:$A$1985,"&gt;=01/12/2022",Terceiros!$A$4:$A$1985,"&lt;=31/12/2022")</f>
        <v>0</v>
      </c>
      <c r="Z3" s="64" t="e">
        <f t="shared" ref="Z3:Z22" si="11">$Y3/$AN$2</f>
        <v>#DIV/0!</v>
      </c>
    </row>
    <row r="4" spans="1:40" x14ac:dyDescent="0.25">
      <c r="A4" s="19"/>
      <c r="B4" s="140"/>
      <c r="C4" s="136">
        <f>SUMIFS(Terceiros!$D$4:$D$1985,Terceiros!$E$4:$E$1985,'Dados Terceiros'!$A4,Terceiros!$A$4:$A$1985,"&gt;=01/01/2022",Terceiros!$A$4:$A$1985,"&lt;01/02/2022")</f>
        <v>0</v>
      </c>
      <c r="D4" s="21" t="e">
        <f t="shared" si="0"/>
        <v>#DIV/0!</v>
      </c>
      <c r="E4" s="7">
        <f>SUMIFS(Terceiros!$D$4:$D$1985,Terceiros!$E$4:$E$1985,'Dados Terceiros'!$A4,Terceiros!$A$4:$A$1985,"&gt;=01/02/2022",Terceiros!$A$4:$A$1985,"&lt;01/03/2022")</f>
        <v>0</v>
      </c>
      <c r="F4" s="22" t="e">
        <f t="shared" si="1"/>
        <v>#DIV/0!</v>
      </c>
      <c r="G4" s="8">
        <f>SUMIFS(Terceiros!$D$4:$D$1985,Terceiros!$E$4:$E$1985,'Dados Terceiros'!$A4,Terceiros!$A$4:$A$1985,"&gt;=01/03/2022",Terceiros!$A$4:$A$1985,"&lt;01/04/2022")</f>
        <v>0</v>
      </c>
      <c r="H4" s="23" t="e">
        <f t="shared" si="2"/>
        <v>#DIV/0!</v>
      </c>
      <c r="I4" s="9">
        <f>SUMIFS(Terceiros!$D$4:$D$1985,Terceiros!$E$4:$E$1985,'Dados Terceiros'!$A4,Terceiros!$A$4:$A$1985,"&gt;=01/04/2022",Terceiros!$A$4:$A$1985,"&lt;01/05/2022")</f>
        <v>0</v>
      </c>
      <c r="J4" s="24" t="e">
        <f t="shared" si="3"/>
        <v>#DIV/0!</v>
      </c>
      <c r="K4" s="10">
        <f>SUMIFS(Terceiros!$D$4:$D$1985,Terceiros!$E$4:$E$1985,'Dados Terceiros'!$A4,Terceiros!$A$4:$A$1985,"&gt;=01/05/2022",Terceiros!$A$4:$A$1985,"&lt;01/06/2022")</f>
        <v>0</v>
      </c>
      <c r="L4" s="25" t="e">
        <f t="shared" si="4"/>
        <v>#DIV/0!</v>
      </c>
      <c r="M4" s="11">
        <f>SUMIFS(Terceiros!$D$4:$D$1985,Terceiros!$E$4:$E$1985,'Dados Terceiros'!$A4,Terceiros!$A$4:$A$1985,"&gt;=01/06/2022",Terceiros!$A$4:$A$1985,"&lt;01/07/2022")</f>
        <v>0</v>
      </c>
      <c r="N4" s="26" t="e">
        <f t="shared" si="5"/>
        <v>#DIV/0!</v>
      </c>
      <c r="O4" s="12">
        <f>SUMIFS(Terceiros!$D$4:$D$1985,Terceiros!$E$4:$E$1985,'Dados Terceiros'!$A4,Terceiros!$A$4:$A$1985,"&gt;=01/07/2022",Terceiros!$A$4:$A$1985,"&lt;01/08/2022")</f>
        <v>0</v>
      </c>
      <c r="P4" s="27" t="e">
        <f t="shared" si="6"/>
        <v>#DIV/0!</v>
      </c>
      <c r="Q4" s="13">
        <f>SUMIFS(Terceiros!$D$4:$D$1985,Terceiros!$E$4:$E$1985,'Dados Terceiros'!$A4,Terceiros!$A$4:$A$1985,"&gt;=01/08/2022",Terceiros!$A$4:$A$1985,"&lt;01/09/2022")</f>
        <v>0</v>
      </c>
      <c r="R4" s="28" t="e">
        <f t="shared" si="7"/>
        <v>#DIV/0!</v>
      </c>
      <c r="S4" s="14">
        <f>SUMIFS(Terceiros!$D$4:$D$1985,Terceiros!$E$4:$E$1985,'Dados Terceiros'!$A4,Terceiros!$A$4:$A$1985,"&gt;=01/09/2022",Terceiros!$A$4:$A$1985,"&lt;01/10/2022")</f>
        <v>0</v>
      </c>
      <c r="T4" s="29" t="e">
        <f t="shared" si="8"/>
        <v>#DIV/0!</v>
      </c>
      <c r="U4" s="15">
        <f>SUMIFS(Terceiros!$D$4:$D$1985,Terceiros!$E$4:$E$1985,'Dados Terceiros'!$A4,Terceiros!$A$4:$A$1985,"&gt;=01/10/2022",Terceiros!$A$4:$A$1985,"&lt;01/11/2022")</f>
        <v>0</v>
      </c>
      <c r="V4" s="30" t="e">
        <f t="shared" si="9"/>
        <v>#DIV/0!</v>
      </c>
      <c r="W4" s="16">
        <f>SUMIFS(Terceiros!$D$4:$D$1985,Terceiros!$E$4:$E$1985,'Dados Terceiros'!$A4,Terceiros!$A$4:$A$1985,"&gt;=01/11/2022",Terceiros!$A$4:$A$1985,"&lt;01/12/2022")</f>
        <v>0</v>
      </c>
      <c r="X4" s="31" t="e">
        <f t="shared" si="10"/>
        <v>#DIV/0!</v>
      </c>
      <c r="Y4" s="6">
        <f>SUMIFS(Terceiros!$D$4:$D$1985,Terceiros!$E$4:$E$1985,'Dados Terceiros'!$A4,Terceiros!$A$4:$A$1985,"&gt;=01/12/2022",Terceiros!$A$4:$A$1985,"&lt;=31/12/2022")</f>
        <v>0</v>
      </c>
      <c r="Z4" s="64" t="e">
        <f t="shared" si="11"/>
        <v>#DIV/0!</v>
      </c>
    </row>
    <row r="5" spans="1:40" x14ac:dyDescent="0.25">
      <c r="A5" s="19"/>
      <c r="B5" s="140"/>
      <c r="C5" s="136">
        <f>SUMIFS(Terceiros!$D$4:$D$1985,Terceiros!$E$4:$E$1985,'Dados Terceiros'!$A5,Terceiros!$A$4:$A$1985,"&gt;=01/01/2022",Terceiros!$A$4:$A$1985,"&lt;01/02/2022")</f>
        <v>0</v>
      </c>
      <c r="D5" s="21" t="e">
        <f t="shared" si="0"/>
        <v>#DIV/0!</v>
      </c>
      <c r="E5" s="7">
        <f>SUMIFS(Terceiros!$D$4:$D$1985,Terceiros!$E$4:$E$1985,'Dados Terceiros'!$A5,Terceiros!$A$4:$A$1985,"&gt;=01/02/2022",Terceiros!$A$4:$A$1985,"&lt;01/03/2022")</f>
        <v>0</v>
      </c>
      <c r="F5" s="22" t="e">
        <f t="shared" si="1"/>
        <v>#DIV/0!</v>
      </c>
      <c r="G5" s="8">
        <f>SUMIFS(Terceiros!$D$4:$D$1985,Terceiros!$E$4:$E$1985,'Dados Terceiros'!$A5,Terceiros!$A$4:$A$1985,"&gt;=01/03/2022",Terceiros!$A$4:$A$1985,"&lt;01/04/2022")</f>
        <v>0</v>
      </c>
      <c r="H5" s="23" t="e">
        <f t="shared" si="2"/>
        <v>#DIV/0!</v>
      </c>
      <c r="I5" s="9">
        <f>SUMIFS(Terceiros!$D$4:$D$1985,Terceiros!$E$4:$E$1985,'Dados Terceiros'!$A5,Terceiros!$A$4:$A$1985,"&gt;=01/04/2022",Terceiros!$A$4:$A$1985,"&lt;01/05/2022")</f>
        <v>0</v>
      </c>
      <c r="J5" s="24" t="e">
        <f t="shared" si="3"/>
        <v>#DIV/0!</v>
      </c>
      <c r="K5" s="10">
        <f>SUMIFS(Terceiros!$D$4:$D$1985,Terceiros!$E$4:$E$1985,'Dados Terceiros'!$A5,Terceiros!$A$4:$A$1985,"&gt;=01/05/2022",Terceiros!$A$4:$A$1985,"&lt;01/06/2022")</f>
        <v>0</v>
      </c>
      <c r="L5" s="25" t="e">
        <f t="shared" si="4"/>
        <v>#DIV/0!</v>
      </c>
      <c r="M5" s="11">
        <f>SUMIFS(Terceiros!$D$4:$D$1985,Terceiros!$E$4:$E$1985,'Dados Terceiros'!$A5,Terceiros!$A$4:$A$1985,"&gt;=01/06/2022",Terceiros!$A$4:$A$1985,"&lt;01/07/2022")</f>
        <v>0</v>
      </c>
      <c r="N5" s="26" t="e">
        <f t="shared" si="5"/>
        <v>#DIV/0!</v>
      </c>
      <c r="O5" s="12">
        <f>SUMIFS(Terceiros!$D$4:$D$1985,Terceiros!$E$4:$E$1985,'Dados Terceiros'!$A5,Terceiros!$A$4:$A$1985,"&gt;=01/07/2022",Terceiros!$A$4:$A$1985,"&lt;01/08/2022")</f>
        <v>0</v>
      </c>
      <c r="P5" s="27" t="e">
        <f t="shared" si="6"/>
        <v>#DIV/0!</v>
      </c>
      <c r="Q5" s="13">
        <f>SUMIFS(Terceiros!$D$4:$D$1985,Terceiros!$E$4:$E$1985,'Dados Terceiros'!$A5,Terceiros!$A$4:$A$1985,"&gt;=01/08/2022",Terceiros!$A$4:$A$1985,"&lt;01/09/2022")</f>
        <v>0</v>
      </c>
      <c r="R5" s="28" t="e">
        <f t="shared" si="7"/>
        <v>#DIV/0!</v>
      </c>
      <c r="S5" s="14">
        <f>SUMIFS(Terceiros!$D$4:$D$1985,Terceiros!$E$4:$E$1985,'Dados Terceiros'!$A5,Terceiros!$A$4:$A$1985,"&gt;=01/09/2022",Terceiros!$A$4:$A$1985,"&lt;01/10/2022")</f>
        <v>0</v>
      </c>
      <c r="T5" s="29" t="e">
        <f t="shared" si="8"/>
        <v>#DIV/0!</v>
      </c>
      <c r="U5" s="15">
        <f>SUMIFS(Terceiros!$D$4:$D$1985,Terceiros!$E$4:$E$1985,'Dados Terceiros'!$A5,Terceiros!$A$4:$A$1985,"&gt;=01/10/2022",Terceiros!$A$4:$A$1985,"&lt;01/11/2022")</f>
        <v>0</v>
      </c>
      <c r="V5" s="30" t="e">
        <f t="shared" si="9"/>
        <v>#DIV/0!</v>
      </c>
      <c r="W5" s="16">
        <f>SUMIFS(Terceiros!$D$4:$D$1985,Terceiros!$E$4:$E$1985,'Dados Terceiros'!$A5,Terceiros!$A$4:$A$1985,"&gt;=01/11/2022",Terceiros!$A$4:$A$1985,"&lt;01/12/2022")</f>
        <v>0</v>
      </c>
      <c r="X5" s="31" t="e">
        <f t="shared" si="10"/>
        <v>#DIV/0!</v>
      </c>
      <c r="Y5" s="6">
        <f>SUMIFS(Terceiros!$D$4:$D$1985,Terceiros!$E$4:$E$1985,'Dados Terceiros'!$A5,Terceiros!$A$4:$A$1985,"&gt;=01/12/2022",Terceiros!$A$4:$A$1985,"&lt;=31/12/2022")</f>
        <v>0</v>
      </c>
      <c r="Z5" s="64" t="e">
        <f t="shared" si="11"/>
        <v>#DIV/0!</v>
      </c>
    </row>
    <row r="6" spans="1:40" x14ac:dyDescent="0.25">
      <c r="A6" s="19"/>
      <c r="B6" s="140"/>
      <c r="C6" s="136">
        <f>SUMIFS(Terceiros!$D$4:$D$1985,Terceiros!$E$4:$E$1985,'Dados Terceiros'!$A6,Terceiros!$A$4:$A$1985,"&gt;=01/01/2022",Terceiros!$A$4:$A$1985,"&lt;01/02/2022")</f>
        <v>0</v>
      </c>
      <c r="D6" s="21" t="e">
        <f t="shared" si="0"/>
        <v>#DIV/0!</v>
      </c>
      <c r="E6" s="7">
        <f>SUMIFS(Terceiros!$D$4:$D$1985,Terceiros!$E$4:$E$1985,'Dados Terceiros'!$A6,Terceiros!$A$4:$A$1985,"&gt;=01/02/2022",Terceiros!$A$4:$A$1985,"&lt;01/03/2022")</f>
        <v>0</v>
      </c>
      <c r="F6" s="22" t="e">
        <f t="shared" si="1"/>
        <v>#DIV/0!</v>
      </c>
      <c r="G6" s="8">
        <f>SUMIFS(Terceiros!$D$4:$D$1985,Terceiros!$E$4:$E$1985,'Dados Terceiros'!$A6,Terceiros!$A$4:$A$1985,"&gt;=01/03/2022",Terceiros!$A$4:$A$1985,"&lt;01/04/2022")</f>
        <v>0</v>
      </c>
      <c r="H6" s="23" t="e">
        <f t="shared" si="2"/>
        <v>#DIV/0!</v>
      </c>
      <c r="I6" s="9">
        <f>SUMIFS(Terceiros!$D$4:$D$1985,Terceiros!$E$4:$E$1985,'Dados Terceiros'!$A6,Terceiros!$A$4:$A$1985,"&gt;=01/04/2022",Terceiros!$A$4:$A$1985,"&lt;01/05/2022")</f>
        <v>0</v>
      </c>
      <c r="J6" s="24" t="e">
        <f t="shared" si="3"/>
        <v>#DIV/0!</v>
      </c>
      <c r="K6" s="10">
        <f>SUMIFS(Terceiros!$D$4:$D$1985,Terceiros!$E$4:$E$1985,'Dados Terceiros'!$A6,Terceiros!$A$4:$A$1985,"&gt;=01/05/2022",Terceiros!$A$4:$A$1985,"&lt;01/06/2022")</f>
        <v>0</v>
      </c>
      <c r="L6" s="25" t="e">
        <f t="shared" si="4"/>
        <v>#DIV/0!</v>
      </c>
      <c r="M6" s="11">
        <f>SUMIFS(Terceiros!$D$4:$D$1985,Terceiros!$E$4:$E$1985,'Dados Terceiros'!$A6,Terceiros!$A$4:$A$1985,"&gt;=01/06/2022",Terceiros!$A$4:$A$1985,"&lt;01/07/2022")</f>
        <v>0</v>
      </c>
      <c r="N6" s="26" t="e">
        <f t="shared" si="5"/>
        <v>#DIV/0!</v>
      </c>
      <c r="O6" s="12">
        <f>SUMIFS(Terceiros!$D$4:$D$1985,Terceiros!$E$4:$E$1985,'Dados Terceiros'!$A6,Terceiros!$A$4:$A$1985,"&gt;=01/07/2022",Terceiros!$A$4:$A$1985,"&lt;01/08/2022")</f>
        <v>0</v>
      </c>
      <c r="P6" s="27" t="e">
        <f t="shared" si="6"/>
        <v>#DIV/0!</v>
      </c>
      <c r="Q6" s="13">
        <f>SUMIFS(Terceiros!$D$4:$D$1985,Terceiros!$E$4:$E$1985,'Dados Terceiros'!$A6,Terceiros!$A$4:$A$1985,"&gt;=01/08/2022",Terceiros!$A$4:$A$1985,"&lt;01/09/2022")</f>
        <v>0</v>
      </c>
      <c r="R6" s="28" t="e">
        <f t="shared" si="7"/>
        <v>#DIV/0!</v>
      </c>
      <c r="S6" s="14">
        <f>SUMIFS(Terceiros!$D$4:$D$1985,Terceiros!$E$4:$E$1985,'Dados Terceiros'!$A6,Terceiros!$A$4:$A$1985,"&gt;=01/09/2022",Terceiros!$A$4:$A$1985,"&lt;01/10/2022")</f>
        <v>0</v>
      </c>
      <c r="T6" s="29" t="e">
        <f t="shared" si="8"/>
        <v>#DIV/0!</v>
      </c>
      <c r="U6" s="15">
        <f>SUMIFS(Terceiros!$D$4:$D$1985,Terceiros!$E$4:$E$1985,'Dados Terceiros'!$A6,Terceiros!$A$4:$A$1985,"&gt;=01/10/2022",Terceiros!$A$4:$A$1985,"&lt;01/11/2022")</f>
        <v>0</v>
      </c>
      <c r="V6" s="30" t="e">
        <f t="shared" si="9"/>
        <v>#DIV/0!</v>
      </c>
      <c r="W6" s="16">
        <f>SUMIFS(Terceiros!$D$4:$D$1985,Terceiros!$E$4:$E$1985,'Dados Terceiros'!$A6,Terceiros!$A$4:$A$1985,"&gt;=01/11/2022",Terceiros!$A$4:$A$1985,"&lt;01/12/2022")</f>
        <v>0</v>
      </c>
      <c r="X6" s="31" t="e">
        <f t="shared" si="10"/>
        <v>#DIV/0!</v>
      </c>
      <c r="Y6" s="6">
        <f>SUMIFS(Terceiros!$D$4:$D$1985,Terceiros!$E$4:$E$1985,'Dados Terceiros'!$A6,Terceiros!$A$4:$A$1985,"&gt;=01/12/2022",Terceiros!$A$4:$A$1985,"&lt;=31/12/2022")</f>
        <v>0</v>
      </c>
      <c r="Z6" s="64" t="e">
        <f t="shared" si="11"/>
        <v>#DIV/0!</v>
      </c>
    </row>
    <row r="7" spans="1:40" x14ac:dyDescent="0.25">
      <c r="A7" s="19"/>
      <c r="B7" s="140"/>
      <c r="C7" s="136">
        <f>SUMIFS(Terceiros!$D$4:$D$1985,Terceiros!$E$4:$E$1985,'Dados Terceiros'!$A7,Terceiros!$A$4:$A$1985,"&gt;=01/01/2022",Terceiros!$A$4:$A$1985,"&lt;01/02/2022")</f>
        <v>0</v>
      </c>
      <c r="D7" s="21" t="e">
        <f t="shared" si="0"/>
        <v>#DIV/0!</v>
      </c>
      <c r="E7" s="7">
        <f>SUMIFS(Terceiros!$D$4:$D$1985,Terceiros!$E$4:$E$1985,'Dados Terceiros'!$A7,Terceiros!$A$4:$A$1985,"&gt;=01/02/2022",Terceiros!$A$4:$A$1985,"&lt;01/03/2022")</f>
        <v>0</v>
      </c>
      <c r="F7" s="22" t="e">
        <f t="shared" si="1"/>
        <v>#DIV/0!</v>
      </c>
      <c r="G7" s="8">
        <f>SUMIFS(Terceiros!$D$4:$D$1985,Terceiros!$E$4:$E$1985,'Dados Terceiros'!$A7,Terceiros!$A$4:$A$1985,"&gt;=01/03/2022",Terceiros!$A$4:$A$1985,"&lt;01/04/2022")</f>
        <v>0</v>
      </c>
      <c r="H7" s="23" t="e">
        <f t="shared" si="2"/>
        <v>#DIV/0!</v>
      </c>
      <c r="I7" s="9">
        <f>SUMIFS(Terceiros!$D$4:$D$1985,Terceiros!$E$4:$E$1985,'Dados Terceiros'!$A7,Terceiros!$A$4:$A$1985,"&gt;=01/04/2022",Terceiros!$A$4:$A$1985,"&lt;01/05/2022")</f>
        <v>0</v>
      </c>
      <c r="J7" s="24" t="e">
        <f t="shared" si="3"/>
        <v>#DIV/0!</v>
      </c>
      <c r="K7" s="10">
        <f>SUMIFS(Terceiros!$D$4:$D$1985,Terceiros!$E$4:$E$1985,'Dados Terceiros'!$A7,Terceiros!$A$4:$A$1985,"&gt;=01/05/2022",Terceiros!$A$4:$A$1985,"&lt;01/06/2022")</f>
        <v>0</v>
      </c>
      <c r="L7" s="25" t="e">
        <f t="shared" si="4"/>
        <v>#DIV/0!</v>
      </c>
      <c r="M7" s="11">
        <f>SUMIFS(Terceiros!$D$4:$D$1985,Terceiros!$E$4:$E$1985,'Dados Terceiros'!$A7,Terceiros!$A$4:$A$1985,"&gt;=01/06/2022",Terceiros!$A$4:$A$1985,"&lt;01/07/2022")</f>
        <v>0</v>
      </c>
      <c r="N7" s="26" t="e">
        <f t="shared" si="5"/>
        <v>#DIV/0!</v>
      </c>
      <c r="O7" s="12">
        <f>SUMIFS(Terceiros!$D$4:$D$1985,Terceiros!$E$4:$E$1985,'Dados Terceiros'!$A7,Terceiros!$A$4:$A$1985,"&gt;=01/07/2022",Terceiros!$A$4:$A$1985,"&lt;01/08/2022")</f>
        <v>0</v>
      </c>
      <c r="P7" s="27" t="e">
        <f t="shared" si="6"/>
        <v>#DIV/0!</v>
      </c>
      <c r="Q7" s="13">
        <f>SUMIFS(Terceiros!$D$4:$D$1985,Terceiros!$E$4:$E$1985,'Dados Terceiros'!$A7,Terceiros!$A$4:$A$1985,"&gt;=01/08/2022",Terceiros!$A$4:$A$1985,"&lt;01/09/2022")</f>
        <v>0</v>
      </c>
      <c r="R7" s="28" t="e">
        <f t="shared" si="7"/>
        <v>#DIV/0!</v>
      </c>
      <c r="S7" s="14">
        <f>SUMIFS(Terceiros!$D$4:$D$1985,Terceiros!$E$4:$E$1985,'Dados Terceiros'!$A7,Terceiros!$A$4:$A$1985,"&gt;=01/09/2022",Terceiros!$A$4:$A$1985,"&lt;01/10/2022")</f>
        <v>0</v>
      </c>
      <c r="T7" s="29" t="e">
        <f t="shared" si="8"/>
        <v>#DIV/0!</v>
      </c>
      <c r="U7" s="15">
        <f>SUMIFS(Terceiros!$D$4:$D$1985,Terceiros!$E$4:$E$1985,'Dados Terceiros'!$A7,Terceiros!$A$4:$A$1985,"&gt;=01/10/2022",Terceiros!$A$4:$A$1985,"&lt;01/11/2022")</f>
        <v>0</v>
      </c>
      <c r="V7" s="30" t="e">
        <f t="shared" si="9"/>
        <v>#DIV/0!</v>
      </c>
      <c r="W7" s="16">
        <f>SUMIFS(Terceiros!$D$4:$D$1985,Terceiros!$E$4:$E$1985,'Dados Terceiros'!$A7,Terceiros!$A$4:$A$1985,"&gt;=01/11/2022",Terceiros!$A$4:$A$1985,"&lt;01/12/2022")</f>
        <v>0</v>
      </c>
      <c r="X7" s="31" t="e">
        <f t="shared" si="10"/>
        <v>#DIV/0!</v>
      </c>
      <c r="Y7" s="6">
        <f>SUMIFS(Terceiros!$D$4:$D$1985,Terceiros!$E$4:$E$1985,'Dados Terceiros'!$A7,Terceiros!$A$4:$A$1985,"&gt;=01/12/2022",Terceiros!$A$4:$A$1985,"&lt;=31/12/2022")</f>
        <v>0</v>
      </c>
      <c r="Z7" s="64" t="e">
        <f t="shared" si="11"/>
        <v>#DIV/0!</v>
      </c>
    </row>
    <row r="8" spans="1:40" x14ac:dyDescent="0.25">
      <c r="A8" s="19"/>
      <c r="B8" s="140"/>
      <c r="C8" s="136">
        <f>SUMIFS(Terceiros!$D$4:$D$1985,Terceiros!$E$4:$E$1985,'Dados Terceiros'!$A8,Terceiros!$A$4:$A$1985,"&gt;=01/01/2022",Terceiros!$A$4:$A$1985,"&lt;01/02/2022")</f>
        <v>0</v>
      </c>
      <c r="D8" s="21" t="e">
        <f t="shared" si="0"/>
        <v>#DIV/0!</v>
      </c>
      <c r="E8" s="7">
        <f>SUMIFS(Terceiros!$D$4:$D$1985,Terceiros!$E$4:$E$1985,'Dados Terceiros'!$A8,Terceiros!$A$4:$A$1985,"&gt;=01/02/2022",Terceiros!$A$4:$A$1985,"&lt;01/03/2022")</f>
        <v>0</v>
      </c>
      <c r="F8" s="22" t="e">
        <f t="shared" si="1"/>
        <v>#DIV/0!</v>
      </c>
      <c r="G8" s="8">
        <f>SUMIFS(Terceiros!$D$4:$D$1985,Terceiros!$E$4:$E$1985,'Dados Terceiros'!$A8,Terceiros!$A$4:$A$1985,"&gt;=01/03/2022",Terceiros!$A$4:$A$1985,"&lt;01/04/2022")</f>
        <v>0</v>
      </c>
      <c r="H8" s="23" t="e">
        <f t="shared" si="2"/>
        <v>#DIV/0!</v>
      </c>
      <c r="I8" s="9">
        <f>SUMIFS(Terceiros!$D$4:$D$1985,Terceiros!$E$4:$E$1985,'Dados Terceiros'!$A8,Terceiros!$A$4:$A$1985,"&gt;=01/04/2022",Terceiros!$A$4:$A$1985,"&lt;01/05/2022")</f>
        <v>0</v>
      </c>
      <c r="J8" s="24" t="e">
        <f t="shared" si="3"/>
        <v>#DIV/0!</v>
      </c>
      <c r="K8" s="10">
        <f>SUMIFS(Terceiros!$D$4:$D$1985,Terceiros!$E$4:$E$1985,'Dados Terceiros'!$A8,Terceiros!$A$4:$A$1985,"&gt;=01/05/2022",Terceiros!$A$4:$A$1985,"&lt;01/06/2022")</f>
        <v>0</v>
      </c>
      <c r="L8" s="25" t="e">
        <f t="shared" si="4"/>
        <v>#DIV/0!</v>
      </c>
      <c r="M8" s="11">
        <f>SUMIFS(Terceiros!$D$4:$D$1985,Terceiros!$E$4:$E$1985,'Dados Terceiros'!$A8,Terceiros!$A$4:$A$1985,"&gt;=01/06/2022",Terceiros!$A$4:$A$1985,"&lt;01/07/2022")</f>
        <v>0</v>
      </c>
      <c r="N8" s="26" t="e">
        <f t="shared" si="5"/>
        <v>#DIV/0!</v>
      </c>
      <c r="O8" s="12">
        <f>SUMIFS(Terceiros!$D$4:$D$1985,Terceiros!$E$4:$E$1985,'Dados Terceiros'!$A8,Terceiros!$A$4:$A$1985,"&gt;=01/07/2022",Terceiros!$A$4:$A$1985,"&lt;01/08/2022")</f>
        <v>0</v>
      </c>
      <c r="P8" s="27" t="e">
        <f t="shared" si="6"/>
        <v>#DIV/0!</v>
      </c>
      <c r="Q8" s="13">
        <f>SUMIFS(Terceiros!$D$4:$D$1985,Terceiros!$E$4:$E$1985,'Dados Terceiros'!$A8,Terceiros!$A$4:$A$1985,"&gt;=01/08/2022",Terceiros!$A$4:$A$1985,"&lt;01/09/2022")</f>
        <v>0</v>
      </c>
      <c r="R8" s="28" t="e">
        <f t="shared" si="7"/>
        <v>#DIV/0!</v>
      </c>
      <c r="S8" s="14">
        <f>SUMIFS(Terceiros!$D$4:$D$1985,Terceiros!$E$4:$E$1985,'Dados Terceiros'!$A8,Terceiros!$A$4:$A$1985,"&gt;=01/09/2022",Terceiros!$A$4:$A$1985,"&lt;01/10/2022")</f>
        <v>0</v>
      </c>
      <c r="T8" s="29" t="e">
        <f t="shared" si="8"/>
        <v>#DIV/0!</v>
      </c>
      <c r="U8" s="15">
        <f>SUMIFS(Terceiros!$D$4:$D$1985,Terceiros!$E$4:$E$1985,'Dados Terceiros'!$A8,Terceiros!$A$4:$A$1985,"&gt;=01/10/2022",Terceiros!$A$4:$A$1985,"&lt;01/11/2022")</f>
        <v>0</v>
      </c>
      <c r="V8" s="30" t="e">
        <f t="shared" si="9"/>
        <v>#DIV/0!</v>
      </c>
      <c r="W8" s="16">
        <f>SUMIFS(Terceiros!$D$4:$D$1985,Terceiros!$E$4:$E$1985,'Dados Terceiros'!$A8,Terceiros!$A$4:$A$1985,"&gt;=01/11/2022",Terceiros!$A$4:$A$1985,"&lt;01/12/2022")</f>
        <v>0</v>
      </c>
      <c r="X8" s="31" t="e">
        <f t="shared" si="10"/>
        <v>#DIV/0!</v>
      </c>
      <c r="Y8" s="6">
        <f>SUMIFS(Terceiros!$D$4:$D$1985,Terceiros!$E$4:$E$1985,'Dados Terceiros'!$A8,Terceiros!$A$4:$A$1985,"&gt;=01/12/2022",Terceiros!$A$4:$A$1985,"&lt;=31/12/2022")</f>
        <v>0</v>
      </c>
      <c r="Z8" s="64" t="e">
        <f t="shared" si="11"/>
        <v>#DIV/0!</v>
      </c>
    </row>
    <row r="9" spans="1:40" x14ac:dyDescent="0.25">
      <c r="A9" s="19"/>
      <c r="B9" s="140"/>
      <c r="C9" s="136">
        <f>SUMIFS(Terceiros!$D$4:$D$1985,Terceiros!$E$4:$E$1985,'Dados Terceiros'!$A9,Terceiros!$A$4:$A$1985,"&gt;=01/01/2022",Terceiros!$A$4:$A$1985,"&lt;01/02/2022")</f>
        <v>0</v>
      </c>
      <c r="D9" s="21" t="e">
        <f t="shared" si="0"/>
        <v>#DIV/0!</v>
      </c>
      <c r="E9" s="7">
        <f>SUMIFS(Terceiros!$D$4:$D$1985,Terceiros!$E$4:$E$1985,'Dados Terceiros'!$A9,Terceiros!$A$4:$A$1985,"&gt;=01/02/2022",Terceiros!$A$4:$A$1985,"&lt;01/03/2022")</f>
        <v>0</v>
      </c>
      <c r="F9" s="22" t="e">
        <f t="shared" si="1"/>
        <v>#DIV/0!</v>
      </c>
      <c r="G9" s="8">
        <f>SUMIFS(Terceiros!$D$4:$D$1985,Terceiros!$E$4:$E$1985,'Dados Terceiros'!$A9,Terceiros!$A$4:$A$1985,"&gt;=01/03/2022",Terceiros!$A$4:$A$1985,"&lt;01/04/2022")</f>
        <v>0</v>
      </c>
      <c r="H9" s="23" t="e">
        <f t="shared" si="2"/>
        <v>#DIV/0!</v>
      </c>
      <c r="I9" s="9">
        <f>SUMIFS(Terceiros!$D$4:$D$1985,Terceiros!$E$4:$E$1985,'Dados Terceiros'!$A9,Terceiros!$A$4:$A$1985,"&gt;=01/04/2022",Terceiros!$A$4:$A$1985,"&lt;01/05/2022")</f>
        <v>0</v>
      </c>
      <c r="J9" s="24" t="e">
        <f t="shared" si="3"/>
        <v>#DIV/0!</v>
      </c>
      <c r="K9" s="10">
        <f>SUMIFS(Terceiros!$D$4:$D$1985,Terceiros!$E$4:$E$1985,'Dados Terceiros'!$A9,Terceiros!$A$4:$A$1985,"&gt;=01/05/2022",Terceiros!$A$4:$A$1985,"&lt;01/06/2022")</f>
        <v>0</v>
      </c>
      <c r="L9" s="25" t="e">
        <f t="shared" si="4"/>
        <v>#DIV/0!</v>
      </c>
      <c r="M9" s="11">
        <f>SUMIFS(Terceiros!$D$4:$D$1985,Terceiros!$E$4:$E$1985,'Dados Terceiros'!$A9,Terceiros!$A$4:$A$1985,"&gt;=01/06/2022",Terceiros!$A$4:$A$1985,"&lt;01/07/2022")</f>
        <v>0</v>
      </c>
      <c r="N9" s="26" t="e">
        <f t="shared" si="5"/>
        <v>#DIV/0!</v>
      </c>
      <c r="O9" s="12">
        <f>SUMIFS(Terceiros!$D$4:$D$1985,Terceiros!$E$4:$E$1985,'Dados Terceiros'!$A9,Terceiros!$A$4:$A$1985,"&gt;=01/07/2022",Terceiros!$A$4:$A$1985,"&lt;01/08/2022")</f>
        <v>0</v>
      </c>
      <c r="P9" s="27" t="e">
        <f t="shared" si="6"/>
        <v>#DIV/0!</v>
      </c>
      <c r="Q9" s="13">
        <f>SUMIFS(Terceiros!$D$4:$D$1985,Terceiros!$E$4:$E$1985,'Dados Terceiros'!$A9,Terceiros!$A$4:$A$1985,"&gt;=01/08/2022",Terceiros!$A$4:$A$1985,"&lt;01/09/2022")</f>
        <v>0</v>
      </c>
      <c r="R9" s="28" t="e">
        <f t="shared" si="7"/>
        <v>#DIV/0!</v>
      </c>
      <c r="S9" s="14">
        <f>SUMIFS(Terceiros!$D$4:$D$1985,Terceiros!$E$4:$E$1985,'Dados Terceiros'!$A9,Terceiros!$A$4:$A$1985,"&gt;=01/09/2022",Terceiros!$A$4:$A$1985,"&lt;01/10/2022")</f>
        <v>0</v>
      </c>
      <c r="T9" s="29" t="e">
        <f t="shared" si="8"/>
        <v>#DIV/0!</v>
      </c>
      <c r="U9" s="15">
        <f>SUMIFS(Terceiros!$D$4:$D$1985,Terceiros!$E$4:$E$1985,'Dados Terceiros'!$A9,Terceiros!$A$4:$A$1985,"&gt;=01/10/2022",Terceiros!$A$4:$A$1985,"&lt;01/11/2022")</f>
        <v>0</v>
      </c>
      <c r="V9" s="30" t="e">
        <f t="shared" si="9"/>
        <v>#DIV/0!</v>
      </c>
      <c r="W9" s="16">
        <f>SUMIFS(Terceiros!$D$4:$D$1985,Terceiros!$E$4:$E$1985,'Dados Terceiros'!$A9,Terceiros!$A$4:$A$1985,"&gt;=01/11/2022",Terceiros!$A$4:$A$1985,"&lt;01/12/2022")</f>
        <v>0</v>
      </c>
      <c r="X9" s="31" t="e">
        <f t="shared" si="10"/>
        <v>#DIV/0!</v>
      </c>
      <c r="Y9" s="6">
        <f>SUMIFS(Terceiros!$D$4:$D$1985,Terceiros!$E$4:$E$1985,'Dados Terceiros'!$A9,Terceiros!$A$4:$A$1985,"&gt;=01/12/2022",Terceiros!$A$4:$A$1985,"&lt;=31/12/2022")</f>
        <v>0</v>
      </c>
      <c r="Z9" s="64" t="e">
        <f t="shared" si="11"/>
        <v>#DIV/0!</v>
      </c>
    </row>
    <row r="10" spans="1:40" x14ac:dyDescent="0.25">
      <c r="A10" s="19"/>
      <c r="B10" s="140"/>
      <c r="C10" s="136">
        <f>SUMIFS(Terceiros!$D$4:$D$1985,Terceiros!$E$4:$E$1985,'Dados Terceiros'!$A10,Terceiros!$A$4:$A$1985,"&gt;=01/01/2022",Terceiros!$A$4:$A$1985,"&lt;01/02/2022")</f>
        <v>0</v>
      </c>
      <c r="D10" s="21" t="e">
        <f t="shared" si="0"/>
        <v>#DIV/0!</v>
      </c>
      <c r="E10" s="7">
        <f>SUMIFS(Terceiros!$D$4:$D$1985,Terceiros!$E$4:$E$1985,'Dados Terceiros'!$A10,Terceiros!$A$4:$A$1985,"&gt;=01/02/2022",Terceiros!$A$4:$A$1985,"&lt;01/03/2022")</f>
        <v>0</v>
      </c>
      <c r="F10" s="22" t="e">
        <f t="shared" si="1"/>
        <v>#DIV/0!</v>
      </c>
      <c r="G10" s="8">
        <f>SUMIFS(Terceiros!$D$4:$D$1985,Terceiros!$E$4:$E$1985,'Dados Terceiros'!$A10,Terceiros!$A$4:$A$1985,"&gt;=01/03/2022",Terceiros!$A$4:$A$1985,"&lt;01/04/2022")</f>
        <v>0</v>
      </c>
      <c r="H10" s="23" t="e">
        <f t="shared" si="2"/>
        <v>#DIV/0!</v>
      </c>
      <c r="I10" s="9">
        <f>SUMIFS(Terceiros!$D$4:$D$1985,Terceiros!$E$4:$E$1985,'Dados Terceiros'!$A10,Terceiros!$A$4:$A$1985,"&gt;=01/04/2022",Terceiros!$A$4:$A$1985,"&lt;01/05/2022")</f>
        <v>0</v>
      </c>
      <c r="J10" s="24" t="e">
        <f t="shared" si="3"/>
        <v>#DIV/0!</v>
      </c>
      <c r="K10" s="10">
        <f>SUMIFS(Terceiros!$D$4:$D$1985,Terceiros!$E$4:$E$1985,'Dados Terceiros'!$A10,Terceiros!$A$4:$A$1985,"&gt;=01/05/2022",Terceiros!$A$4:$A$1985,"&lt;01/06/2022")</f>
        <v>0</v>
      </c>
      <c r="L10" s="25" t="e">
        <f t="shared" si="4"/>
        <v>#DIV/0!</v>
      </c>
      <c r="M10" s="11">
        <f>SUMIFS(Terceiros!$D$4:$D$1985,Terceiros!$E$4:$E$1985,'Dados Terceiros'!$A10,Terceiros!$A$4:$A$1985,"&gt;=01/06/2022",Terceiros!$A$4:$A$1985,"&lt;01/07/2022")</f>
        <v>0</v>
      </c>
      <c r="N10" s="26" t="e">
        <f t="shared" si="5"/>
        <v>#DIV/0!</v>
      </c>
      <c r="O10" s="12">
        <f>SUMIFS(Terceiros!$D$4:$D$1985,Terceiros!$E$4:$E$1985,'Dados Terceiros'!$A10,Terceiros!$A$4:$A$1985,"&gt;=01/07/2022",Terceiros!$A$4:$A$1985,"&lt;01/08/2022")</f>
        <v>0</v>
      </c>
      <c r="P10" s="27" t="e">
        <f t="shared" si="6"/>
        <v>#DIV/0!</v>
      </c>
      <c r="Q10" s="13">
        <f>SUMIFS(Terceiros!$D$4:$D$1985,Terceiros!$E$4:$E$1985,'Dados Terceiros'!$A10,Terceiros!$A$4:$A$1985,"&gt;=01/08/2022",Terceiros!$A$4:$A$1985,"&lt;01/09/2022")</f>
        <v>0</v>
      </c>
      <c r="R10" s="28" t="e">
        <f t="shared" si="7"/>
        <v>#DIV/0!</v>
      </c>
      <c r="S10" s="14">
        <f>SUMIFS(Terceiros!$D$4:$D$1985,Terceiros!$E$4:$E$1985,'Dados Terceiros'!$A10,Terceiros!$A$4:$A$1985,"&gt;=01/09/2022",Terceiros!$A$4:$A$1985,"&lt;01/10/2022")</f>
        <v>0</v>
      </c>
      <c r="T10" s="29" t="e">
        <f t="shared" si="8"/>
        <v>#DIV/0!</v>
      </c>
      <c r="U10" s="15">
        <f>SUMIFS(Terceiros!$D$4:$D$1985,Terceiros!$E$4:$E$1985,'Dados Terceiros'!$A10,Terceiros!$A$4:$A$1985,"&gt;=01/10/2022",Terceiros!$A$4:$A$1985,"&lt;01/11/2022")</f>
        <v>0</v>
      </c>
      <c r="V10" s="30" t="e">
        <f t="shared" si="9"/>
        <v>#DIV/0!</v>
      </c>
      <c r="W10" s="16">
        <f>SUMIFS(Terceiros!$D$4:$D$1985,Terceiros!$E$4:$E$1985,'Dados Terceiros'!$A10,Terceiros!$A$4:$A$1985,"&gt;=01/11/2022",Terceiros!$A$4:$A$1985,"&lt;01/12/2022")</f>
        <v>0</v>
      </c>
      <c r="X10" s="31" t="e">
        <f t="shared" si="10"/>
        <v>#DIV/0!</v>
      </c>
      <c r="Y10" s="6">
        <f>SUMIFS(Terceiros!$D$4:$D$1985,Terceiros!$E$4:$E$1985,'Dados Terceiros'!$A10,Terceiros!$A$4:$A$1985,"&gt;=01/12/2022",Terceiros!$A$4:$A$1985,"&lt;=31/12/2022")</f>
        <v>0</v>
      </c>
      <c r="Z10" s="64" t="e">
        <f t="shared" si="11"/>
        <v>#DIV/0!</v>
      </c>
    </row>
    <row r="11" spans="1:40" x14ac:dyDescent="0.25">
      <c r="A11" s="19"/>
      <c r="B11" s="140"/>
      <c r="C11" s="136">
        <f>SUMIFS(Terceiros!$D$4:$D$1985,Terceiros!$E$4:$E$1985,'Dados Terceiros'!$A11,Terceiros!$A$4:$A$1985,"&gt;=01/01/2022",Terceiros!$A$4:$A$1985,"&lt;01/02/2022")</f>
        <v>0</v>
      </c>
      <c r="D11" s="21" t="e">
        <f t="shared" si="0"/>
        <v>#DIV/0!</v>
      </c>
      <c r="E11" s="7">
        <f>SUMIFS(Terceiros!$D$4:$D$1985,Terceiros!$E$4:$E$1985,'Dados Terceiros'!$A11,Terceiros!$A$4:$A$1985,"&gt;=01/02/2022",Terceiros!$A$4:$A$1985,"&lt;01/03/2022")</f>
        <v>0</v>
      </c>
      <c r="F11" s="22" t="e">
        <f t="shared" si="1"/>
        <v>#DIV/0!</v>
      </c>
      <c r="G11" s="8">
        <f>SUMIFS(Terceiros!$D$4:$D$1985,Terceiros!$E$4:$E$1985,'Dados Terceiros'!$A11,Terceiros!$A$4:$A$1985,"&gt;=01/03/2022",Terceiros!$A$4:$A$1985,"&lt;01/04/2022")</f>
        <v>0</v>
      </c>
      <c r="H11" s="23" t="e">
        <f t="shared" si="2"/>
        <v>#DIV/0!</v>
      </c>
      <c r="I11" s="9">
        <f>SUMIFS(Terceiros!$D$4:$D$1985,Terceiros!$E$4:$E$1985,'Dados Terceiros'!$A11,Terceiros!$A$4:$A$1985,"&gt;=01/04/2022",Terceiros!$A$4:$A$1985,"&lt;01/05/2022")</f>
        <v>0</v>
      </c>
      <c r="J11" s="24" t="e">
        <f t="shared" si="3"/>
        <v>#DIV/0!</v>
      </c>
      <c r="K11" s="10">
        <f>SUMIFS(Terceiros!$D$4:$D$1985,Terceiros!$E$4:$E$1985,'Dados Terceiros'!$A11,Terceiros!$A$4:$A$1985,"&gt;=01/05/2022",Terceiros!$A$4:$A$1985,"&lt;01/06/2022")</f>
        <v>0</v>
      </c>
      <c r="L11" s="25" t="e">
        <f t="shared" si="4"/>
        <v>#DIV/0!</v>
      </c>
      <c r="M11" s="11">
        <f>SUMIFS(Terceiros!$D$4:$D$1985,Terceiros!$E$4:$E$1985,'Dados Terceiros'!$A11,Terceiros!$A$4:$A$1985,"&gt;=01/06/2022",Terceiros!$A$4:$A$1985,"&lt;01/07/2022")</f>
        <v>0</v>
      </c>
      <c r="N11" s="26" t="e">
        <f t="shared" si="5"/>
        <v>#DIV/0!</v>
      </c>
      <c r="O11" s="12">
        <f>SUMIFS(Terceiros!$D$4:$D$1985,Terceiros!$E$4:$E$1985,'Dados Terceiros'!$A11,Terceiros!$A$4:$A$1985,"&gt;=01/07/2022",Terceiros!$A$4:$A$1985,"&lt;01/08/2022")</f>
        <v>0</v>
      </c>
      <c r="P11" s="27" t="e">
        <f t="shared" si="6"/>
        <v>#DIV/0!</v>
      </c>
      <c r="Q11" s="13">
        <f>SUMIFS(Terceiros!$D$4:$D$1985,Terceiros!$E$4:$E$1985,'Dados Terceiros'!$A11,Terceiros!$A$4:$A$1985,"&gt;=01/08/2022",Terceiros!$A$4:$A$1985,"&lt;01/09/2022")</f>
        <v>0</v>
      </c>
      <c r="R11" s="28" t="e">
        <f t="shared" si="7"/>
        <v>#DIV/0!</v>
      </c>
      <c r="S11" s="14">
        <f>SUMIFS(Terceiros!$D$4:$D$1985,Terceiros!$E$4:$E$1985,'Dados Terceiros'!$A11,Terceiros!$A$4:$A$1985,"&gt;=01/09/2022",Terceiros!$A$4:$A$1985,"&lt;01/10/2022")</f>
        <v>0</v>
      </c>
      <c r="T11" s="29" t="e">
        <f t="shared" si="8"/>
        <v>#DIV/0!</v>
      </c>
      <c r="U11" s="15">
        <f>SUMIFS(Terceiros!$D$4:$D$1985,Terceiros!$E$4:$E$1985,'Dados Terceiros'!$A11,Terceiros!$A$4:$A$1985,"&gt;=01/10/2022",Terceiros!$A$4:$A$1985,"&lt;01/11/2022")</f>
        <v>0</v>
      </c>
      <c r="V11" s="30" t="e">
        <f t="shared" si="9"/>
        <v>#DIV/0!</v>
      </c>
      <c r="W11" s="16">
        <f>SUMIFS(Terceiros!$D$4:$D$1985,Terceiros!$E$4:$E$1985,'Dados Terceiros'!$A11,Terceiros!$A$4:$A$1985,"&gt;=01/11/2022",Terceiros!$A$4:$A$1985,"&lt;01/12/2022")</f>
        <v>0</v>
      </c>
      <c r="X11" s="31" t="e">
        <f t="shared" si="10"/>
        <v>#DIV/0!</v>
      </c>
      <c r="Y11" s="6">
        <f>SUMIFS(Terceiros!$D$4:$D$1985,Terceiros!$E$4:$E$1985,'Dados Terceiros'!$A11,Terceiros!$A$4:$A$1985,"&gt;=01/12/2022",Terceiros!$A$4:$A$1985,"&lt;=31/12/2022")</f>
        <v>0</v>
      </c>
      <c r="Z11" s="64" t="e">
        <f t="shared" si="11"/>
        <v>#DIV/0!</v>
      </c>
    </row>
    <row r="12" spans="1:40" x14ac:dyDescent="0.25">
      <c r="A12" s="19"/>
      <c r="B12" s="140"/>
      <c r="C12" s="136">
        <f>SUMIFS(Terceiros!$D$4:$D$1985,Terceiros!$E$4:$E$1985,'Dados Terceiros'!$A12,Terceiros!$A$4:$A$1985,"&gt;=01/01/2022",Terceiros!$A$4:$A$1985,"&lt;01/02/2022")</f>
        <v>0</v>
      </c>
      <c r="D12" s="21" t="e">
        <f t="shared" si="0"/>
        <v>#DIV/0!</v>
      </c>
      <c r="E12" s="7">
        <f>SUMIFS(Terceiros!$D$4:$D$1985,Terceiros!$E$4:$E$1985,'Dados Terceiros'!$A12,Terceiros!$A$4:$A$1985,"&gt;=01/02/2022",Terceiros!$A$4:$A$1985,"&lt;01/03/2022")</f>
        <v>0</v>
      </c>
      <c r="F12" s="22" t="e">
        <f t="shared" si="1"/>
        <v>#DIV/0!</v>
      </c>
      <c r="G12" s="8">
        <f>SUMIFS(Terceiros!$D$4:$D$1985,Terceiros!$E$4:$E$1985,'Dados Terceiros'!$A12,Terceiros!$A$4:$A$1985,"&gt;=01/03/2022",Terceiros!$A$4:$A$1985,"&lt;01/04/2022")</f>
        <v>0</v>
      </c>
      <c r="H12" s="23" t="e">
        <f t="shared" si="2"/>
        <v>#DIV/0!</v>
      </c>
      <c r="I12" s="9">
        <f>SUMIFS(Terceiros!$D$4:$D$1985,Terceiros!$E$4:$E$1985,'Dados Terceiros'!$A12,Terceiros!$A$4:$A$1985,"&gt;=01/04/2022",Terceiros!$A$4:$A$1985,"&lt;01/05/2022")</f>
        <v>0</v>
      </c>
      <c r="J12" s="24" t="e">
        <f t="shared" si="3"/>
        <v>#DIV/0!</v>
      </c>
      <c r="K12" s="10">
        <f>SUMIFS(Terceiros!$D$4:$D$1985,Terceiros!$E$4:$E$1985,'Dados Terceiros'!$A12,Terceiros!$A$4:$A$1985,"&gt;=01/05/2022",Terceiros!$A$4:$A$1985,"&lt;01/06/2022")</f>
        <v>0</v>
      </c>
      <c r="L12" s="25" t="e">
        <f t="shared" si="4"/>
        <v>#DIV/0!</v>
      </c>
      <c r="M12" s="11">
        <f>SUMIFS(Terceiros!$D$4:$D$1985,Terceiros!$E$4:$E$1985,'Dados Terceiros'!$A12,Terceiros!$A$4:$A$1985,"&gt;=01/06/2022",Terceiros!$A$4:$A$1985,"&lt;01/07/2022")</f>
        <v>0</v>
      </c>
      <c r="N12" s="26" t="e">
        <f t="shared" si="5"/>
        <v>#DIV/0!</v>
      </c>
      <c r="O12" s="12">
        <f>SUMIFS(Terceiros!$D$4:$D$1985,Terceiros!$E$4:$E$1985,'Dados Terceiros'!$A12,Terceiros!$A$4:$A$1985,"&gt;=01/07/2022",Terceiros!$A$4:$A$1985,"&lt;01/08/2022")</f>
        <v>0</v>
      </c>
      <c r="P12" s="27" t="e">
        <f t="shared" si="6"/>
        <v>#DIV/0!</v>
      </c>
      <c r="Q12" s="13">
        <f>SUMIFS(Terceiros!$D$4:$D$1985,Terceiros!$E$4:$E$1985,'Dados Terceiros'!$A12,Terceiros!$A$4:$A$1985,"&gt;=01/08/2022",Terceiros!$A$4:$A$1985,"&lt;01/09/2022")</f>
        <v>0</v>
      </c>
      <c r="R12" s="28" t="e">
        <f t="shared" si="7"/>
        <v>#DIV/0!</v>
      </c>
      <c r="S12" s="14">
        <f>SUMIFS(Terceiros!$D$4:$D$1985,Terceiros!$E$4:$E$1985,'Dados Terceiros'!$A12,Terceiros!$A$4:$A$1985,"&gt;=01/09/2022",Terceiros!$A$4:$A$1985,"&lt;01/10/2022")</f>
        <v>0</v>
      </c>
      <c r="T12" s="29" t="e">
        <f t="shared" si="8"/>
        <v>#DIV/0!</v>
      </c>
      <c r="U12" s="15">
        <f>SUMIFS(Terceiros!$D$4:$D$1985,Terceiros!$E$4:$E$1985,'Dados Terceiros'!$A12,Terceiros!$A$4:$A$1985,"&gt;=01/10/2022",Terceiros!$A$4:$A$1985,"&lt;01/11/2022")</f>
        <v>0</v>
      </c>
      <c r="V12" s="30" t="e">
        <f t="shared" si="9"/>
        <v>#DIV/0!</v>
      </c>
      <c r="W12" s="16">
        <f>SUMIFS(Terceiros!$D$4:$D$1985,Terceiros!$E$4:$E$1985,'Dados Terceiros'!$A12,Terceiros!$A$4:$A$1985,"&gt;=01/11/2022",Terceiros!$A$4:$A$1985,"&lt;01/12/2022")</f>
        <v>0</v>
      </c>
      <c r="X12" s="31" t="e">
        <f t="shared" si="10"/>
        <v>#DIV/0!</v>
      </c>
      <c r="Y12" s="6">
        <f>SUMIFS(Terceiros!$D$4:$D$1985,Terceiros!$E$4:$E$1985,'Dados Terceiros'!$A12,Terceiros!$A$4:$A$1985,"&gt;=01/12/2022",Terceiros!$A$4:$A$1985,"&lt;=31/12/2022")</f>
        <v>0</v>
      </c>
      <c r="Z12" s="64" t="e">
        <f t="shared" si="11"/>
        <v>#DIV/0!</v>
      </c>
    </row>
    <row r="13" spans="1:40" x14ac:dyDescent="0.25">
      <c r="A13" s="19"/>
      <c r="B13" s="140"/>
      <c r="C13" s="136">
        <f>SUMIFS(Terceiros!$D$4:$D$1985,Terceiros!$E$4:$E$1985,'Dados Terceiros'!$A13,Terceiros!$A$4:$A$1985,"&gt;=01/01/2022",Terceiros!$A$4:$A$1985,"&lt;01/02/2022")</f>
        <v>0</v>
      </c>
      <c r="D13" s="21" t="e">
        <f t="shared" si="0"/>
        <v>#DIV/0!</v>
      </c>
      <c r="E13" s="7">
        <f>SUMIFS(Terceiros!$D$4:$D$1985,Terceiros!$E$4:$E$1985,'Dados Terceiros'!$A13,Terceiros!$A$4:$A$1985,"&gt;=01/02/2022",Terceiros!$A$4:$A$1985,"&lt;01/03/2022")</f>
        <v>0</v>
      </c>
      <c r="F13" s="22" t="e">
        <f t="shared" si="1"/>
        <v>#DIV/0!</v>
      </c>
      <c r="G13" s="8">
        <f>SUMIFS(Terceiros!$D$4:$D$1985,Terceiros!$E$4:$E$1985,'Dados Terceiros'!$A13,Terceiros!$A$4:$A$1985,"&gt;=01/03/2022",Terceiros!$A$4:$A$1985,"&lt;01/04/2022")</f>
        <v>0</v>
      </c>
      <c r="H13" s="23" t="e">
        <f t="shared" si="2"/>
        <v>#DIV/0!</v>
      </c>
      <c r="I13" s="9">
        <f>SUMIFS(Terceiros!$D$4:$D$1985,Terceiros!$E$4:$E$1985,'Dados Terceiros'!$A13,Terceiros!$A$4:$A$1985,"&gt;=01/04/2022",Terceiros!$A$4:$A$1985,"&lt;01/05/2022")</f>
        <v>0</v>
      </c>
      <c r="J13" s="24" t="e">
        <f t="shared" si="3"/>
        <v>#DIV/0!</v>
      </c>
      <c r="K13" s="10">
        <f>SUMIFS(Terceiros!$D$4:$D$1985,Terceiros!$E$4:$E$1985,'Dados Terceiros'!$A13,Terceiros!$A$4:$A$1985,"&gt;=01/05/2022",Terceiros!$A$4:$A$1985,"&lt;01/06/2022")</f>
        <v>0</v>
      </c>
      <c r="L13" s="25" t="e">
        <f t="shared" si="4"/>
        <v>#DIV/0!</v>
      </c>
      <c r="M13" s="11">
        <f>SUMIFS(Terceiros!$D$4:$D$1985,Terceiros!$E$4:$E$1985,'Dados Terceiros'!$A13,Terceiros!$A$4:$A$1985,"&gt;=01/06/2022",Terceiros!$A$4:$A$1985,"&lt;01/07/2022")</f>
        <v>0</v>
      </c>
      <c r="N13" s="26" t="e">
        <f t="shared" si="5"/>
        <v>#DIV/0!</v>
      </c>
      <c r="O13" s="12">
        <f>SUMIFS(Terceiros!$D$4:$D$1985,Terceiros!$E$4:$E$1985,'Dados Terceiros'!$A13,Terceiros!$A$4:$A$1985,"&gt;=01/07/2022",Terceiros!$A$4:$A$1985,"&lt;01/08/2022")</f>
        <v>0</v>
      </c>
      <c r="P13" s="27" t="e">
        <f t="shared" si="6"/>
        <v>#DIV/0!</v>
      </c>
      <c r="Q13" s="13">
        <f>SUMIFS(Terceiros!$D$4:$D$1985,Terceiros!$E$4:$E$1985,'Dados Terceiros'!$A13,Terceiros!$A$4:$A$1985,"&gt;=01/08/2022",Terceiros!$A$4:$A$1985,"&lt;01/09/2022")</f>
        <v>0</v>
      </c>
      <c r="R13" s="28" t="e">
        <f t="shared" si="7"/>
        <v>#DIV/0!</v>
      </c>
      <c r="S13" s="14">
        <f>SUMIFS(Terceiros!$D$4:$D$1985,Terceiros!$E$4:$E$1985,'Dados Terceiros'!$A13,Terceiros!$A$4:$A$1985,"&gt;=01/09/2022",Terceiros!$A$4:$A$1985,"&lt;01/10/2022")</f>
        <v>0</v>
      </c>
      <c r="T13" s="29" t="e">
        <f t="shared" si="8"/>
        <v>#DIV/0!</v>
      </c>
      <c r="U13" s="15">
        <f>SUMIFS(Terceiros!$D$4:$D$1985,Terceiros!$E$4:$E$1985,'Dados Terceiros'!$A13,Terceiros!$A$4:$A$1985,"&gt;=01/10/2022",Terceiros!$A$4:$A$1985,"&lt;01/11/2022")</f>
        <v>0</v>
      </c>
      <c r="V13" s="30" t="e">
        <f t="shared" si="9"/>
        <v>#DIV/0!</v>
      </c>
      <c r="W13" s="16">
        <f>SUMIFS(Terceiros!$D$4:$D$1985,Terceiros!$E$4:$E$1985,'Dados Terceiros'!$A13,Terceiros!$A$4:$A$1985,"&gt;=01/11/2022",Terceiros!$A$4:$A$1985,"&lt;01/12/2022")</f>
        <v>0</v>
      </c>
      <c r="X13" s="31" t="e">
        <f t="shared" si="10"/>
        <v>#DIV/0!</v>
      </c>
      <c r="Y13" s="6">
        <f>SUMIFS(Terceiros!$D$4:$D$1985,Terceiros!$E$4:$E$1985,'Dados Terceiros'!$A13,Terceiros!$A$4:$A$1985,"&gt;=01/12/2022",Terceiros!$A$4:$A$1985,"&lt;=31/12/2022")</f>
        <v>0</v>
      </c>
      <c r="Z13" s="64" t="e">
        <f t="shared" si="11"/>
        <v>#DIV/0!</v>
      </c>
    </row>
    <row r="14" spans="1:40" x14ac:dyDescent="0.25">
      <c r="A14" s="19"/>
      <c r="B14" s="140"/>
      <c r="C14" s="136">
        <f>SUMIFS(Terceiros!$D$4:$D$1985,Terceiros!$E$4:$E$1985,'Dados Terceiros'!$A14,Terceiros!$A$4:$A$1985,"&gt;=01/01/2022",Terceiros!$A$4:$A$1985,"&lt;01/02/2022")</f>
        <v>0</v>
      </c>
      <c r="D14" s="21" t="e">
        <f t="shared" si="0"/>
        <v>#DIV/0!</v>
      </c>
      <c r="E14" s="7">
        <f>SUMIFS(Terceiros!$D$4:$D$1985,Terceiros!$E$4:$E$1985,'Dados Terceiros'!$A14,Terceiros!$A$4:$A$1985,"&gt;=01/02/2022",Terceiros!$A$4:$A$1985,"&lt;01/03/2022")</f>
        <v>0</v>
      </c>
      <c r="F14" s="22" t="e">
        <f t="shared" si="1"/>
        <v>#DIV/0!</v>
      </c>
      <c r="G14" s="8">
        <f>SUMIFS(Terceiros!$D$4:$D$1985,Terceiros!$E$4:$E$1985,'Dados Terceiros'!$A14,Terceiros!$A$4:$A$1985,"&gt;=01/03/2022",Terceiros!$A$4:$A$1985,"&lt;01/04/2022")</f>
        <v>0</v>
      </c>
      <c r="H14" s="23" t="e">
        <f t="shared" si="2"/>
        <v>#DIV/0!</v>
      </c>
      <c r="I14" s="9">
        <f>SUMIFS(Terceiros!$D$4:$D$1985,Terceiros!$E$4:$E$1985,'Dados Terceiros'!$A14,Terceiros!$A$4:$A$1985,"&gt;=01/04/2022",Terceiros!$A$4:$A$1985,"&lt;01/05/2022")</f>
        <v>0</v>
      </c>
      <c r="J14" s="24" t="e">
        <f t="shared" si="3"/>
        <v>#DIV/0!</v>
      </c>
      <c r="K14" s="10">
        <f>SUMIFS(Terceiros!$D$4:$D$1985,Terceiros!$E$4:$E$1985,'Dados Terceiros'!$A14,Terceiros!$A$4:$A$1985,"&gt;=01/05/2022",Terceiros!$A$4:$A$1985,"&lt;01/06/2022")</f>
        <v>0</v>
      </c>
      <c r="L14" s="25" t="e">
        <f t="shared" si="4"/>
        <v>#DIV/0!</v>
      </c>
      <c r="M14" s="11">
        <f>SUMIFS(Terceiros!$D$4:$D$1985,Terceiros!$E$4:$E$1985,'Dados Terceiros'!$A14,Terceiros!$A$4:$A$1985,"&gt;=01/06/2022",Terceiros!$A$4:$A$1985,"&lt;01/07/2022")</f>
        <v>0</v>
      </c>
      <c r="N14" s="26" t="e">
        <f t="shared" si="5"/>
        <v>#DIV/0!</v>
      </c>
      <c r="O14" s="12">
        <f>SUMIFS(Terceiros!$D$4:$D$1985,Terceiros!$E$4:$E$1985,'Dados Terceiros'!$A14,Terceiros!$A$4:$A$1985,"&gt;=01/07/2022",Terceiros!$A$4:$A$1985,"&lt;01/08/2022")</f>
        <v>0</v>
      </c>
      <c r="P14" s="27" t="e">
        <f t="shared" si="6"/>
        <v>#DIV/0!</v>
      </c>
      <c r="Q14" s="13">
        <f>SUMIFS(Terceiros!$D$4:$D$1985,Terceiros!$E$4:$E$1985,'Dados Terceiros'!$A14,Terceiros!$A$4:$A$1985,"&gt;=01/08/2022",Terceiros!$A$4:$A$1985,"&lt;01/09/2022")</f>
        <v>0</v>
      </c>
      <c r="R14" s="28" t="e">
        <f t="shared" si="7"/>
        <v>#DIV/0!</v>
      </c>
      <c r="S14" s="14">
        <f>SUMIFS(Terceiros!$D$4:$D$1985,Terceiros!$E$4:$E$1985,'Dados Terceiros'!$A14,Terceiros!$A$4:$A$1985,"&gt;=01/09/2022",Terceiros!$A$4:$A$1985,"&lt;01/10/2022")</f>
        <v>0</v>
      </c>
      <c r="T14" s="29" t="e">
        <f t="shared" si="8"/>
        <v>#DIV/0!</v>
      </c>
      <c r="U14" s="15">
        <f>SUMIFS(Terceiros!$D$4:$D$1985,Terceiros!$E$4:$E$1985,'Dados Terceiros'!$A14,Terceiros!$A$4:$A$1985,"&gt;=01/10/2022",Terceiros!$A$4:$A$1985,"&lt;01/11/2022")</f>
        <v>0</v>
      </c>
      <c r="V14" s="30" t="e">
        <f t="shared" si="9"/>
        <v>#DIV/0!</v>
      </c>
      <c r="W14" s="16">
        <f>SUMIFS(Terceiros!$D$4:$D$1985,Terceiros!$E$4:$E$1985,'Dados Terceiros'!$A14,Terceiros!$A$4:$A$1985,"&gt;=01/11/2022",Terceiros!$A$4:$A$1985,"&lt;01/12/2022")</f>
        <v>0</v>
      </c>
      <c r="X14" s="31" t="e">
        <f t="shared" si="10"/>
        <v>#DIV/0!</v>
      </c>
      <c r="Y14" s="6">
        <f>SUMIFS(Terceiros!$D$4:$D$1985,Terceiros!$E$4:$E$1985,'Dados Terceiros'!$A14,Terceiros!$A$4:$A$1985,"&gt;=01/12/2022",Terceiros!$A$4:$A$1985,"&lt;=31/12/2022")</f>
        <v>0</v>
      </c>
      <c r="Z14" s="64" t="e">
        <f t="shared" si="11"/>
        <v>#DIV/0!</v>
      </c>
    </row>
    <row r="15" spans="1:40" x14ac:dyDescent="0.25">
      <c r="A15" s="19"/>
      <c r="B15" s="140"/>
      <c r="C15" s="136">
        <f>SUMIFS(Terceiros!$D$4:$D$1985,Terceiros!$E$4:$E$1985,'Dados Terceiros'!$A15,Terceiros!$A$4:$A$1985,"&gt;=01/01/2022",Terceiros!$A$4:$A$1985,"&lt;01/02/2022")</f>
        <v>0</v>
      </c>
      <c r="D15" s="21" t="e">
        <f t="shared" si="0"/>
        <v>#DIV/0!</v>
      </c>
      <c r="E15" s="7">
        <f>SUMIFS(Terceiros!$D$4:$D$1985,Terceiros!$E$4:$E$1985,'Dados Terceiros'!$A15,Terceiros!$A$4:$A$1985,"&gt;=01/02/2022",Terceiros!$A$4:$A$1985,"&lt;01/03/2022")</f>
        <v>0</v>
      </c>
      <c r="F15" s="22" t="e">
        <f t="shared" si="1"/>
        <v>#DIV/0!</v>
      </c>
      <c r="G15" s="8">
        <f>SUMIFS(Terceiros!$D$4:$D$1985,Terceiros!$E$4:$E$1985,'Dados Terceiros'!$A15,Terceiros!$A$4:$A$1985,"&gt;=01/03/2022",Terceiros!$A$4:$A$1985,"&lt;01/04/2022")</f>
        <v>0</v>
      </c>
      <c r="H15" s="23" t="e">
        <f t="shared" si="2"/>
        <v>#DIV/0!</v>
      </c>
      <c r="I15" s="9">
        <f>SUMIFS(Terceiros!$D$4:$D$1985,Terceiros!$E$4:$E$1985,'Dados Terceiros'!$A15,Terceiros!$A$4:$A$1985,"&gt;=01/04/2022",Terceiros!$A$4:$A$1985,"&lt;01/05/2022")</f>
        <v>0</v>
      </c>
      <c r="J15" s="24" t="e">
        <f t="shared" si="3"/>
        <v>#DIV/0!</v>
      </c>
      <c r="K15" s="10">
        <f>SUMIFS(Terceiros!$D$4:$D$1985,Terceiros!$E$4:$E$1985,'Dados Terceiros'!$A15,Terceiros!$A$4:$A$1985,"&gt;=01/05/2022",Terceiros!$A$4:$A$1985,"&lt;01/06/2022")</f>
        <v>0</v>
      </c>
      <c r="L15" s="25" t="e">
        <f t="shared" si="4"/>
        <v>#DIV/0!</v>
      </c>
      <c r="M15" s="11">
        <f>SUMIFS(Terceiros!$D$4:$D$1985,Terceiros!$E$4:$E$1985,'Dados Terceiros'!$A15,Terceiros!$A$4:$A$1985,"&gt;=01/06/2022",Terceiros!$A$4:$A$1985,"&lt;01/07/2022")</f>
        <v>0</v>
      </c>
      <c r="N15" s="26" t="e">
        <f t="shared" si="5"/>
        <v>#DIV/0!</v>
      </c>
      <c r="O15" s="12">
        <f>SUMIFS(Terceiros!$D$4:$D$1985,Terceiros!$E$4:$E$1985,'Dados Terceiros'!$A15,Terceiros!$A$4:$A$1985,"&gt;=01/07/2022",Terceiros!$A$4:$A$1985,"&lt;01/08/2022")</f>
        <v>0</v>
      </c>
      <c r="P15" s="27" t="e">
        <f t="shared" si="6"/>
        <v>#DIV/0!</v>
      </c>
      <c r="Q15" s="13">
        <f>SUMIFS(Terceiros!$D$4:$D$1985,Terceiros!$E$4:$E$1985,'Dados Terceiros'!$A15,Terceiros!$A$4:$A$1985,"&gt;=01/08/2022",Terceiros!$A$4:$A$1985,"&lt;01/09/2022")</f>
        <v>0</v>
      </c>
      <c r="R15" s="28" t="e">
        <f t="shared" si="7"/>
        <v>#DIV/0!</v>
      </c>
      <c r="S15" s="14">
        <f>SUMIFS(Terceiros!$D$4:$D$1985,Terceiros!$E$4:$E$1985,'Dados Terceiros'!$A15,Terceiros!$A$4:$A$1985,"&gt;=01/09/2022",Terceiros!$A$4:$A$1985,"&lt;01/10/2022")</f>
        <v>0</v>
      </c>
      <c r="T15" s="29" t="e">
        <f t="shared" si="8"/>
        <v>#DIV/0!</v>
      </c>
      <c r="U15" s="15">
        <f>SUMIFS(Terceiros!$D$4:$D$1985,Terceiros!$E$4:$E$1985,'Dados Terceiros'!$A15,Terceiros!$A$4:$A$1985,"&gt;=01/10/2022",Terceiros!$A$4:$A$1985,"&lt;01/11/2022")</f>
        <v>0</v>
      </c>
      <c r="V15" s="30" t="e">
        <f t="shared" si="9"/>
        <v>#DIV/0!</v>
      </c>
      <c r="W15" s="16">
        <f>SUMIFS(Terceiros!$D$4:$D$1985,Terceiros!$E$4:$E$1985,'Dados Terceiros'!$A15,Terceiros!$A$4:$A$1985,"&gt;=01/11/2022",Terceiros!$A$4:$A$1985,"&lt;01/12/2022")</f>
        <v>0</v>
      </c>
      <c r="X15" s="31" t="e">
        <f t="shared" si="10"/>
        <v>#DIV/0!</v>
      </c>
      <c r="Y15" s="6">
        <f>SUMIFS(Terceiros!$D$4:$D$1985,Terceiros!$E$4:$E$1985,'Dados Terceiros'!$A15,Terceiros!$A$4:$A$1985,"&gt;=01/12/2022",Terceiros!$A$4:$A$1985,"&lt;=31/12/2022")</f>
        <v>0</v>
      </c>
      <c r="Z15" s="64" t="e">
        <f t="shared" si="11"/>
        <v>#DIV/0!</v>
      </c>
    </row>
    <row r="16" spans="1:40" x14ac:dyDescent="0.25">
      <c r="A16" s="19"/>
      <c r="B16" s="140"/>
      <c r="C16" s="136">
        <f>SUMIFS(Terceiros!$D$4:$D$1985,Terceiros!$E$4:$E$1985,'Dados Terceiros'!$A16,Terceiros!$A$4:$A$1985,"&gt;=01/01/2022",Terceiros!$A$4:$A$1985,"&lt;01/02/2022")</f>
        <v>0</v>
      </c>
      <c r="D16" s="21" t="e">
        <f t="shared" si="0"/>
        <v>#DIV/0!</v>
      </c>
      <c r="E16" s="7">
        <f>SUMIFS(Terceiros!$D$4:$D$1985,Terceiros!$E$4:$E$1985,'Dados Terceiros'!$A16,Terceiros!$A$4:$A$1985,"&gt;=01/02/2022",Terceiros!$A$4:$A$1985,"&lt;01/03/2022")</f>
        <v>0</v>
      </c>
      <c r="F16" s="22" t="e">
        <f t="shared" si="1"/>
        <v>#DIV/0!</v>
      </c>
      <c r="G16" s="8">
        <f>SUMIFS(Terceiros!$D$4:$D$1985,Terceiros!$E$4:$E$1985,'Dados Terceiros'!$A16,Terceiros!$A$4:$A$1985,"&gt;=01/03/2022",Terceiros!$A$4:$A$1985,"&lt;01/04/2022")</f>
        <v>0</v>
      </c>
      <c r="H16" s="23" t="e">
        <f t="shared" si="2"/>
        <v>#DIV/0!</v>
      </c>
      <c r="I16" s="9">
        <f>SUMIFS(Terceiros!$D$4:$D$1985,Terceiros!$E$4:$E$1985,'Dados Terceiros'!$A16,Terceiros!$A$4:$A$1985,"&gt;=01/04/2022",Terceiros!$A$4:$A$1985,"&lt;01/05/2022")</f>
        <v>0</v>
      </c>
      <c r="J16" s="24" t="e">
        <f t="shared" si="3"/>
        <v>#DIV/0!</v>
      </c>
      <c r="K16" s="10">
        <f>SUMIFS(Terceiros!$D$4:$D$1985,Terceiros!$E$4:$E$1985,'Dados Terceiros'!$A16,Terceiros!$A$4:$A$1985,"&gt;=01/05/2022",Terceiros!$A$4:$A$1985,"&lt;01/06/2022")</f>
        <v>0</v>
      </c>
      <c r="L16" s="25" t="e">
        <f t="shared" si="4"/>
        <v>#DIV/0!</v>
      </c>
      <c r="M16" s="11">
        <f>SUMIFS(Terceiros!$D$4:$D$1985,Terceiros!$E$4:$E$1985,'Dados Terceiros'!$A16,Terceiros!$A$4:$A$1985,"&gt;=01/06/2022",Terceiros!$A$4:$A$1985,"&lt;01/07/2022")</f>
        <v>0</v>
      </c>
      <c r="N16" s="26" t="e">
        <f t="shared" si="5"/>
        <v>#DIV/0!</v>
      </c>
      <c r="O16" s="12">
        <f>SUMIFS(Terceiros!$D$4:$D$1985,Terceiros!$E$4:$E$1985,'Dados Terceiros'!$A16,Terceiros!$A$4:$A$1985,"&gt;=01/07/2022",Terceiros!$A$4:$A$1985,"&lt;01/08/2022")</f>
        <v>0</v>
      </c>
      <c r="P16" s="27" t="e">
        <f t="shared" si="6"/>
        <v>#DIV/0!</v>
      </c>
      <c r="Q16" s="13">
        <f>SUMIFS(Terceiros!$D$4:$D$1985,Terceiros!$E$4:$E$1985,'Dados Terceiros'!$A16,Terceiros!$A$4:$A$1985,"&gt;=01/08/2022",Terceiros!$A$4:$A$1985,"&lt;01/09/2022")</f>
        <v>0</v>
      </c>
      <c r="R16" s="28" t="e">
        <f t="shared" si="7"/>
        <v>#DIV/0!</v>
      </c>
      <c r="S16" s="14">
        <f>SUMIFS(Terceiros!$D$4:$D$1985,Terceiros!$E$4:$E$1985,'Dados Terceiros'!$A16,Terceiros!$A$4:$A$1985,"&gt;=01/09/2022",Terceiros!$A$4:$A$1985,"&lt;01/10/2022")</f>
        <v>0</v>
      </c>
      <c r="T16" s="29" t="e">
        <f t="shared" si="8"/>
        <v>#DIV/0!</v>
      </c>
      <c r="U16" s="15">
        <f>SUMIFS(Terceiros!$D$4:$D$1985,Terceiros!$E$4:$E$1985,'Dados Terceiros'!$A16,Terceiros!$A$4:$A$1985,"&gt;=01/10/2022",Terceiros!$A$4:$A$1985,"&lt;01/11/2022")</f>
        <v>0</v>
      </c>
      <c r="V16" s="30" t="e">
        <f t="shared" si="9"/>
        <v>#DIV/0!</v>
      </c>
      <c r="W16" s="16">
        <f>SUMIFS(Terceiros!$D$4:$D$1985,Terceiros!$E$4:$E$1985,'Dados Terceiros'!$A16,Terceiros!$A$4:$A$1985,"&gt;=01/11/2022",Terceiros!$A$4:$A$1985,"&lt;01/12/2022")</f>
        <v>0</v>
      </c>
      <c r="X16" s="31" t="e">
        <f t="shared" si="10"/>
        <v>#DIV/0!</v>
      </c>
      <c r="Y16" s="6">
        <f>SUMIFS(Terceiros!$D$4:$D$1985,Terceiros!$E$4:$E$1985,'Dados Terceiros'!$A16,Terceiros!$A$4:$A$1985,"&gt;=01/12/2022",Terceiros!$A$4:$A$1985,"&lt;=31/12/2022")</f>
        <v>0</v>
      </c>
      <c r="Z16" s="64" t="e">
        <f t="shared" si="11"/>
        <v>#DIV/0!</v>
      </c>
    </row>
    <row r="17" spans="1:26" x14ac:dyDescent="0.25">
      <c r="A17" s="19"/>
      <c r="B17" s="140"/>
      <c r="C17" s="136">
        <f>SUMIFS(Terceiros!$D$4:$D$1985,Terceiros!$E$4:$E$1985,'Dados Terceiros'!$A17,Terceiros!$A$4:$A$1985,"&gt;=01/01/2022",Terceiros!$A$4:$A$1985,"&lt;01/02/2022")</f>
        <v>0</v>
      </c>
      <c r="D17" s="21" t="e">
        <f t="shared" si="0"/>
        <v>#DIV/0!</v>
      </c>
      <c r="E17" s="7">
        <f>SUMIFS(Terceiros!$D$4:$D$1985,Terceiros!$E$4:$E$1985,'Dados Terceiros'!$A17,Terceiros!$A$4:$A$1985,"&gt;=01/02/2022",Terceiros!$A$4:$A$1985,"&lt;01/03/2022")</f>
        <v>0</v>
      </c>
      <c r="F17" s="22" t="e">
        <f t="shared" si="1"/>
        <v>#DIV/0!</v>
      </c>
      <c r="G17" s="8">
        <f>SUMIFS(Terceiros!$D$4:$D$1985,Terceiros!$E$4:$E$1985,'Dados Terceiros'!$A17,Terceiros!$A$4:$A$1985,"&gt;=01/03/2022",Terceiros!$A$4:$A$1985,"&lt;01/04/2022")</f>
        <v>0</v>
      </c>
      <c r="H17" s="23" t="e">
        <f t="shared" si="2"/>
        <v>#DIV/0!</v>
      </c>
      <c r="I17" s="9">
        <f>SUMIFS(Terceiros!$D$4:$D$1985,Terceiros!$E$4:$E$1985,'Dados Terceiros'!$A17,Terceiros!$A$4:$A$1985,"&gt;=01/04/2022",Terceiros!$A$4:$A$1985,"&lt;01/05/2022")</f>
        <v>0</v>
      </c>
      <c r="J17" s="24" t="e">
        <f t="shared" si="3"/>
        <v>#DIV/0!</v>
      </c>
      <c r="K17" s="10">
        <f>SUMIFS(Terceiros!$D$4:$D$1985,Terceiros!$E$4:$E$1985,'Dados Terceiros'!$A17,Terceiros!$A$4:$A$1985,"&gt;=01/05/2022",Terceiros!$A$4:$A$1985,"&lt;01/06/2022")</f>
        <v>0</v>
      </c>
      <c r="L17" s="25" t="e">
        <f t="shared" si="4"/>
        <v>#DIV/0!</v>
      </c>
      <c r="M17" s="11">
        <f>SUMIFS(Terceiros!$D$4:$D$1985,Terceiros!$E$4:$E$1985,'Dados Terceiros'!$A17,Terceiros!$A$4:$A$1985,"&gt;=01/06/2022",Terceiros!$A$4:$A$1985,"&lt;01/07/2022")</f>
        <v>0</v>
      </c>
      <c r="N17" s="26" t="e">
        <f t="shared" si="5"/>
        <v>#DIV/0!</v>
      </c>
      <c r="O17" s="12">
        <f>SUMIFS(Terceiros!$D$4:$D$1985,Terceiros!$E$4:$E$1985,'Dados Terceiros'!$A17,Terceiros!$A$4:$A$1985,"&gt;=01/07/2022",Terceiros!$A$4:$A$1985,"&lt;01/08/2022")</f>
        <v>0</v>
      </c>
      <c r="P17" s="27" t="e">
        <f t="shared" si="6"/>
        <v>#DIV/0!</v>
      </c>
      <c r="Q17" s="13">
        <f>SUMIFS(Terceiros!$D$4:$D$1985,Terceiros!$E$4:$E$1985,'Dados Terceiros'!$A17,Terceiros!$A$4:$A$1985,"&gt;=01/08/2022",Terceiros!$A$4:$A$1985,"&lt;01/09/2022")</f>
        <v>0</v>
      </c>
      <c r="R17" s="28" t="e">
        <f t="shared" si="7"/>
        <v>#DIV/0!</v>
      </c>
      <c r="S17" s="14">
        <f>SUMIFS(Terceiros!$D$4:$D$1985,Terceiros!$E$4:$E$1985,'Dados Terceiros'!$A17,Terceiros!$A$4:$A$1985,"&gt;=01/09/2022",Terceiros!$A$4:$A$1985,"&lt;01/10/2022")</f>
        <v>0</v>
      </c>
      <c r="T17" s="29" t="e">
        <f t="shared" si="8"/>
        <v>#DIV/0!</v>
      </c>
      <c r="U17" s="15">
        <f>SUMIFS(Terceiros!$D$4:$D$1985,Terceiros!$E$4:$E$1985,'Dados Terceiros'!$A17,Terceiros!$A$4:$A$1985,"&gt;=01/10/2022",Terceiros!$A$4:$A$1985,"&lt;01/11/2022")</f>
        <v>0</v>
      </c>
      <c r="V17" s="30" t="e">
        <f t="shared" si="9"/>
        <v>#DIV/0!</v>
      </c>
      <c r="W17" s="16">
        <f>SUMIFS(Terceiros!$D$4:$D$1985,Terceiros!$E$4:$E$1985,'Dados Terceiros'!$A17,Terceiros!$A$4:$A$1985,"&gt;=01/11/2022",Terceiros!$A$4:$A$1985,"&lt;01/12/2022")</f>
        <v>0</v>
      </c>
      <c r="X17" s="31" t="e">
        <f t="shared" si="10"/>
        <v>#DIV/0!</v>
      </c>
      <c r="Y17" s="6">
        <f>SUMIFS(Terceiros!$D$4:$D$1985,Terceiros!$E$4:$E$1985,'Dados Terceiros'!$A17,Terceiros!$A$4:$A$1985,"&gt;=01/12/2022",Terceiros!$A$4:$A$1985,"&lt;=31/12/2022")</f>
        <v>0</v>
      </c>
      <c r="Z17" s="64" t="e">
        <f t="shared" si="11"/>
        <v>#DIV/0!</v>
      </c>
    </row>
    <row r="18" spans="1:26" x14ac:dyDescent="0.25">
      <c r="A18" s="19"/>
      <c r="B18" s="140"/>
      <c r="C18" s="136">
        <f>SUMIFS(Terceiros!$D$4:$D$1985,Terceiros!$E$4:$E$1985,'Dados Terceiros'!$A18,Terceiros!$A$4:$A$1985,"&gt;=01/01/2022",Terceiros!$A$4:$A$1985,"&lt;01/02/2022")</f>
        <v>0</v>
      </c>
      <c r="D18" s="21" t="e">
        <f t="shared" si="0"/>
        <v>#DIV/0!</v>
      </c>
      <c r="E18" s="7">
        <f>SUMIFS(Terceiros!$D$4:$D$1985,Terceiros!$E$4:$E$1985,'Dados Terceiros'!$A18,Terceiros!$A$4:$A$1985,"&gt;=01/02/2022",Terceiros!$A$4:$A$1985,"&lt;01/03/2022")</f>
        <v>0</v>
      </c>
      <c r="F18" s="22" t="e">
        <f t="shared" si="1"/>
        <v>#DIV/0!</v>
      </c>
      <c r="G18" s="8">
        <f>SUMIFS(Terceiros!$D$4:$D$1985,Terceiros!$E$4:$E$1985,'Dados Terceiros'!$A18,Terceiros!$A$4:$A$1985,"&gt;=01/03/2022",Terceiros!$A$4:$A$1985,"&lt;01/04/2022")</f>
        <v>0</v>
      </c>
      <c r="H18" s="23" t="e">
        <f t="shared" si="2"/>
        <v>#DIV/0!</v>
      </c>
      <c r="I18" s="9">
        <f>SUMIFS(Terceiros!$D$4:$D$1985,Terceiros!$E$4:$E$1985,'Dados Terceiros'!$A18,Terceiros!$A$4:$A$1985,"&gt;=01/04/2022",Terceiros!$A$4:$A$1985,"&lt;01/05/2022")</f>
        <v>0</v>
      </c>
      <c r="J18" s="24" t="e">
        <f t="shared" si="3"/>
        <v>#DIV/0!</v>
      </c>
      <c r="K18" s="10">
        <f>SUMIFS(Terceiros!$D$4:$D$1985,Terceiros!$E$4:$E$1985,'Dados Terceiros'!$A18,Terceiros!$A$4:$A$1985,"&gt;=01/05/2022",Terceiros!$A$4:$A$1985,"&lt;01/06/2022")</f>
        <v>0</v>
      </c>
      <c r="L18" s="25" t="e">
        <f t="shared" si="4"/>
        <v>#DIV/0!</v>
      </c>
      <c r="M18" s="11">
        <f>SUMIFS(Terceiros!$D$4:$D$1985,Terceiros!$E$4:$E$1985,'Dados Terceiros'!$A18,Terceiros!$A$4:$A$1985,"&gt;=01/06/2022",Terceiros!$A$4:$A$1985,"&lt;01/07/2022")</f>
        <v>0</v>
      </c>
      <c r="N18" s="26" t="e">
        <f t="shared" si="5"/>
        <v>#DIV/0!</v>
      </c>
      <c r="O18" s="12">
        <f>SUMIFS(Terceiros!$D$4:$D$1985,Terceiros!$E$4:$E$1985,'Dados Terceiros'!$A18,Terceiros!$A$4:$A$1985,"&gt;=01/07/2022",Terceiros!$A$4:$A$1985,"&lt;01/08/2022")</f>
        <v>0</v>
      </c>
      <c r="P18" s="27" t="e">
        <f t="shared" si="6"/>
        <v>#DIV/0!</v>
      </c>
      <c r="Q18" s="13">
        <f>SUMIFS(Terceiros!$D$4:$D$1985,Terceiros!$E$4:$E$1985,'Dados Terceiros'!$A18,Terceiros!$A$4:$A$1985,"&gt;=01/08/2022",Terceiros!$A$4:$A$1985,"&lt;01/09/2022")</f>
        <v>0</v>
      </c>
      <c r="R18" s="28" t="e">
        <f t="shared" si="7"/>
        <v>#DIV/0!</v>
      </c>
      <c r="S18" s="14">
        <f>SUMIFS(Terceiros!$D$4:$D$1985,Terceiros!$E$4:$E$1985,'Dados Terceiros'!$A18,Terceiros!$A$4:$A$1985,"&gt;=01/09/2022",Terceiros!$A$4:$A$1985,"&lt;01/10/2022")</f>
        <v>0</v>
      </c>
      <c r="T18" s="29" t="e">
        <f t="shared" si="8"/>
        <v>#DIV/0!</v>
      </c>
      <c r="U18" s="15">
        <f>SUMIFS(Terceiros!$D$4:$D$1985,Terceiros!$E$4:$E$1985,'Dados Terceiros'!$A18,Terceiros!$A$4:$A$1985,"&gt;=01/10/2022",Terceiros!$A$4:$A$1985,"&lt;01/11/2022")</f>
        <v>0</v>
      </c>
      <c r="V18" s="30" t="e">
        <f t="shared" si="9"/>
        <v>#DIV/0!</v>
      </c>
      <c r="W18" s="16">
        <f>SUMIFS(Terceiros!$D$4:$D$1985,Terceiros!$E$4:$E$1985,'Dados Terceiros'!$A18,Terceiros!$A$4:$A$1985,"&gt;=01/11/2022",Terceiros!$A$4:$A$1985,"&lt;01/12/2022")</f>
        <v>0</v>
      </c>
      <c r="X18" s="31" t="e">
        <f t="shared" si="10"/>
        <v>#DIV/0!</v>
      </c>
      <c r="Y18" s="6">
        <f>SUMIFS(Terceiros!$D$4:$D$1985,Terceiros!$E$4:$E$1985,'Dados Terceiros'!$A18,Terceiros!$A$4:$A$1985,"&gt;=01/12/2022",Terceiros!$A$4:$A$1985,"&lt;=31/12/2022")</f>
        <v>0</v>
      </c>
      <c r="Z18" s="64" t="e">
        <f t="shared" si="11"/>
        <v>#DIV/0!</v>
      </c>
    </row>
    <row r="19" spans="1:26" x14ac:dyDescent="0.25">
      <c r="A19" s="19"/>
      <c r="B19" s="140"/>
      <c r="C19" s="136">
        <f>SUMIFS(Terceiros!$D$4:$D$1985,Terceiros!$E$4:$E$1985,'Dados Terceiros'!$A19,Terceiros!$A$4:$A$1985,"&gt;=01/01/2022",Terceiros!$A$4:$A$1985,"&lt;01/02/2022")</f>
        <v>0</v>
      </c>
      <c r="D19" s="21" t="e">
        <f t="shared" si="0"/>
        <v>#DIV/0!</v>
      </c>
      <c r="E19" s="7">
        <f>SUMIFS(Terceiros!$D$4:$D$1985,Terceiros!$E$4:$E$1985,'Dados Terceiros'!$A19,Terceiros!$A$4:$A$1985,"&gt;=01/02/2022",Terceiros!$A$4:$A$1985,"&lt;01/03/2022")</f>
        <v>0</v>
      </c>
      <c r="F19" s="22" t="e">
        <f t="shared" si="1"/>
        <v>#DIV/0!</v>
      </c>
      <c r="G19" s="8">
        <f>SUMIFS(Terceiros!$D$4:$D$1985,Terceiros!$E$4:$E$1985,'Dados Terceiros'!$A19,Terceiros!$A$4:$A$1985,"&gt;=01/03/2022",Terceiros!$A$4:$A$1985,"&lt;01/04/2022")</f>
        <v>0</v>
      </c>
      <c r="H19" s="23" t="e">
        <f t="shared" si="2"/>
        <v>#DIV/0!</v>
      </c>
      <c r="I19" s="9">
        <f>SUMIFS(Terceiros!$D$4:$D$1985,Terceiros!$E$4:$E$1985,'Dados Terceiros'!$A19,Terceiros!$A$4:$A$1985,"&gt;=01/04/2022",Terceiros!$A$4:$A$1985,"&lt;01/05/2022")</f>
        <v>0</v>
      </c>
      <c r="J19" s="24" t="e">
        <f t="shared" si="3"/>
        <v>#DIV/0!</v>
      </c>
      <c r="K19" s="10">
        <f>SUMIFS(Terceiros!$D$4:$D$1985,Terceiros!$E$4:$E$1985,'Dados Terceiros'!$A19,Terceiros!$A$4:$A$1985,"&gt;=01/05/2022",Terceiros!$A$4:$A$1985,"&lt;01/06/2022")</f>
        <v>0</v>
      </c>
      <c r="L19" s="25" t="e">
        <f t="shared" si="4"/>
        <v>#DIV/0!</v>
      </c>
      <c r="M19" s="11">
        <f>SUMIFS(Terceiros!$D$4:$D$1985,Terceiros!$E$4:$E$1985,'Dados Terceiros'!$A19,Terceiros!$A$4:$A$1985,"&gt;=01/06/2022",Terceiros!$A$4:$A$1985,"&lt;01/07/2022")</f>
        <v>0</v>
      </c>
      <c r="N19" s="26" t="e">
        <f t="shared" si="5"/>
        <v>#DIV/0!</v>
      </c>
      <c r="O19" s="12">
        <f>SUMIFS(Terceiros!$D$4:$D$1985,Terceiros!$E$4:$E$1985,'Dados Terceiros'!$A19,Terceiros!$A$4:$A$1985,"&gt;=01/07/2022",Terceiros!$A$4:$A$1985,"&lt;01/08/2022")</f>
        <v>0</v>
      </c>
      <c r="P19" s="27" t="e">
        <f t="shared" si="6"/>
        <v>#DIV/0!</v>
      </c>
      <c r="Q19" s="13">
        <f>SUMIFS(Terceiros!$D$4:$D$1985,Terceiros!$E$4:$E$1985,'Dados Terceiros'!$A19,Terceiros!$A$4:$A$1985,"&gt;=01/08/2022",Terceiros!$A$4:$A$1985,"&lt;01/09/2022")</f>
        <v>0</v>
      </c>
      <c r="R19" s="28" t="e">
        <f t="shared" si="7"/>
        <v>#DIV/0!</v>
      </c>
      <c r="S19" s="14">
        <f>SUMIFS(Terceiros!$D$4:$D$1985,Terceiros!$E$4:$E$1985,'Dados Terceiros'!$A19,Terceiros!$A$4:$A$1985,"&gt;=01/09/2022",Terceiros!$A$4:$A$1985,"&lt;01/10/2022")</f>
        <v>0</v>
      </c>
      <c r="T19" s="29" t="e">
        <f t="shared" si="8"/>
        <v>#DIV/0!</v>
      </c>
      <c r="U19" s="15">
        <f>SUMIFS(Terceiros!$D$4:$D$1985,Terceiros!$E$4:$E$1985,'Dados Terceiros'!$A19,Terceiros!$A$4:$A$1985,"&gt;=01/10/2022",Terceiros!$A$4:$A$1985,"&lt;01/11/2022")</f>
        <v>0</v>
      </c>
      <c r="V19" s="30" t="e">
        <f t="shared" si="9"/>
        <v>#DIV/0!</v>
      </c>
      <c r="W19" s="16">
        <f>SUMIFS(Terceiros!$D$4:$D$1985,Terceiros!$E$4:$E$1985,'Dados Terceiros'!$A19,Terceiros!$A$4:$A$1985,"&gt;=01/11/2022",Terceiros!$A$4:$A$1985,"&lt;01/12/2022")</f>
        <v>0</v>
      </c>
      <c r="X19" s="31" t="e">
        <f t="shared" si="10"/>
        <v>#DIV/0!</v>
      </c>
      <c r="Y19" s="6">
        <f>SUMIFS(Terceiros!$D$4:$D$1985,Terceiros!$E$4:$E$1985,'Dados Terceiros'!$A19,Terceiros!$A$4:$A$1985,"&gt;=01/12/2022",Terceiros!$A$4:$A$1985,"&lt;=31/12/2022")</f>
        <v>0</v>
      </c>
      <c r="Z19" s="64" t="e">
        <f t="shared" si="11"/>
        <v>#DIV/0!</v>
      </c>
    </row>
    <row r="20" spans="1:26" x14ac:dyDescent="0.25">
      <c r="A20" s="19"/>
      <c r="B20" s="140"/>
      <c r="C20" s="136">
        <f>SUMIFS(Terceiros!$D$4:$D$1985,Terceiros!$E$4:$E$1985,'Dados Terceiros'!$A20,Terceiros!$A$4:$A$1985,"&gt;=01/01/2022",Terceiros!$A$4:$A$1985,"&lt;01/02/2022")</f>
        <v>0</v>
      </c>
      <c r="D20" s="21" t="e">
        <f t="shared" si="0"/>
        <v>#DIV/0!</v>
      </c>
      <c r="E20" s="7">
        <f>SUMIFS(Terceiros!$D$4:$D$1985,Terceiros!$E$4:$E$1985,'Dados Terceiros'!$A20,Terceiros!$A$4:$A$1985,"&gt;=01/02/2022",Terceiros!$A$4:$A$1985,"&lt;01/03/2022")</f>
        <v>0</v>
      </c>
      <c r="F20" s="22" t="e">
        <f t="shared" si="1"/>
        <v>#DIV/0!</v>
      </c>
      <c r="G20" s="8">
        <f>SUMIFS(Terceiros!$D$4:$D$1985,Terceiros!$E$4:$E$1985,'Dados Terceiros'!$A20,Terceiros!$A$4:$A$1985,"&gt;=01/03/2022",Terceiros!$A$4:$A$1985,"&lt;01/04/2022")</f>
        <v>0</v>
      </c>
      <c r="H20" s="23" t="e">
        <f t="shared" si="2"/>
        <v>#DIV/0!</v>
      </c>
      <c r="I20" s="9">
        <f>SUMIFS(Terceiros!$D$4:$D$1985,Terceiros!$E$4:$E$1985,'Dados Terceiros'!$A20,Terceiros!$A$4:$A$1985,"&gt;=01/04/2022",Terceiros!$A$4:$A$1985,"&lt;01/05/2022")</f>
        <v>0</v>
      </c>
      <c r="J20" s="24" t="e">
        <f t="shared" si="3"/>
        <v>#DIV/0!</v>
      </c>
      <c r="K20" s="10">
        <f>SUMIFS(Terceiros!$D$4:$D$1985,Terceiros!$E$4:$E$1985,'Dados Terceiros'!$A20,Terceiros!$A$4:$A$1985,"&gt;=01/05/2022",Terceiros!$A$4:$A$1985,"&lt;01/06/2022")</f>
        <v>0</v>
      </c>
      <c r="L20" s="25" t="e">
        <f t="shared" si="4"/>
        <v>#DIV/0!</v>
      </c>
      <c r="M20" s="11">
        <f>SUMIFS(Terceiros!$D$4:$D$1985,Terceiros!$E$4:$E$1985,'Dados Terceiros'!$A20,Terceiros!$A$4:$A$1985,"&gt;=01/06/2022",Terceiros!$A$4:$A$1985,"&lt;01/07/2022")</f>
        <v>0</v>
      </c>
      <c r="N20" s="26" t="e">
        <f t="shared" si="5"/>
        <v>#DIV/0!</v>
      </c>
      <c r="O20" s="12">
        <f>SUMIFS(Terceiros!$D$4:$D$1985,Terceiros!$E$4:$E$1985,'Dados Terceiros'!$A20,Terceiros!$A$4:$A$1985,"&gt;=01/07/2022",Terceiros!$A$4:$A$1985,"&lt;01/08/2022")</f>
        <v>0</v>
      </c>
      <c r="P20" s="27" t="e">
        <f t="shared" si="6"/>
        <v>#DIV/0!</v>
      </c>
      <c r="Q20" s="13">
        <f>SUMIFS(Terceiros!$D$4:$D$1985,Terceiros!$E$4:$E$1985,'Dados Terceiros'!$A20,Terceiros!$A$4:$A$1985,"&gt;=01/08/2022",Terceiros!$A$4:$A$1985,"&lt;01/09/2022")</f>
        <v>0</v>
      </c>
      <c r="R20" s="28" t="e">
        <f t="shared" si="7"/>
        <v>#DIV/0!</v>
      </c>
      <c r="S20" s="14">
        <f>SUMIFS(Terceiros!$D$4:$D$1985,Terceiros!$E$4:$E$1985,'Dados Terceiros'!$A20,Terceiros!$A$4:$A$1985,"&gt;=01/09/2022",Terceiros!$A$4:$A$1985,"&lt;01/10/2022")</f>
        <v>0</v>
      </c>
      <c r="T20" s="29" t="e">
        <f t="shared" si="8"/>
        <v>#DIV/0!</v>
      </c>
      <c r="U20" s="15">
        <f>SUMIFS(Terceiros!$D$4:$D$1985,Terceiros!$E$4:$E$1985,'Dados Terceiros'!$A20,Terceiros!$A$4:$A$1985,"&gt;=01/10/2022",Terceiros!$A$4:$A$1985,"&lt;01/11/2022")</f>
        <v>0</v>
      </c>
      <c r="V20" s="30" t="e">
        <f t="shared" si="9"/>
        <v>#DIV/0!</v>
      </c>
      <c r="W20" s="16">
        <f>SUMIFS(Terceiros!$D$4:$D$1985,Terceiros!$E$4:$E$1985,'Dados Terceiros'!$A20,Terceiros!$A$4:$A$1985,"&gt;=01/11/2022",Terceiros!$A$4:$A$1985,"&lt;01/12/2022")</f>
        <v>0</v>
      </c>
      <c r="X20" s="31" t="e">
        <f t="shared" si="10"/>
        <v>#DIV/0!</v>
      </c>
      <c r="Y20" s="6">
        <f>SUMIFS(Terceiros!$D$4:$D$1985,Terceiros!$E$4:$E$1985,'Dados Terceiros'!$A20,Terceiros!$A$4:$A$1985,"&gt;=01/12/2022",Terceiros!$A$4:$A$1985,"&lt;=31/12/2022")</f>
        <v>0</v>
      </c>
      <c r="Z20" s="64" t="e">
        <f t="shared" si="11"/>
        <v>#DIV/0!</v>
      </c>
    </row>
    <row r="21" spans="1:26" x14ac:dyDescent="0.25">
      <c r="A21" s="19"/>
      <c r="B21" s="140"/>
      <c r="C21" s="136">
        <f>SUMIFS(Terceiros!$D$4:$D$1985,Terceiros!$E$4:$E$1985,'Dados Terceiros'!$A21,Terceiros!$A$4:$A$1985,"&gt;=01/01/2022",Terceiros!$A$4:$A$1985,"&lt;01/02/2022")</f>
        <v>0</v>
      </c>
      <c r="D21" s="21" t="e">
        <f t="shared" si="0"/>
        <v>#DIV/0!</v>
      </c>
      <c r="E21" s="7">
        <f>SUMIFS(Terceiros!$D$4:$D$1985,Terceiros!$E$4:$E$1985,'Dados Terceiros'!$A21,Terceiros!$A$4:$A$1985,"&gt;=01/02/2022",Terceiros!$A$4:$A$1985,"&lt;01/03/2022")</f>
        <v>0</v>
      </c>
      <c r="F21" s="22" t="e">
        <f t="shared" si="1"/>
        <v>#DIV/0!</v>
      </c>
      <c r="G21" s="8">
        <f>SUMIFS(Terceiros!$D$4:$D$1985,Terceiros!$E$4:$E$1985,'Dados Terceiros'!$A21,Terceiros!$A$4:$A$1985,"&gt;=01/03/2022",Terceiros!$A$4:$A$1985,"&lt;01/04/2022")</f>
        <v>0</v>
      </c>
      <c r="H21" s="23" t="e">
        <f t="shared" si="2"/>
        <v>#DIV/0!</v>
      </c>
      <c r="I21" s="9">
        <f>SUMIFS(Terceiros!$D$4:$D$1985,Terceiros!$E$4:$E$1985,'Dados Terceiros'!$A21,Terceiros!$A$4:$A$1985,"&gt;=01/04/2022",Terceiros!$A$4:$A$1985,"&lt;01/05/2022")</f>
        <v>0</v>
      </c>
      <c r="J21" s="24" t="e">
        <f t="shared" si="3"/>
        <v>#DIV/0!</v>
      </c>
      <c r="K21" s="10">
        <f>SUMIFS(Terceiros!$D$4:$D$1985,Terceiros!$E$4:$E$1985,'Dados Terceiros'!$A21,Terceiros!$A$4:$A$1985,"&gt;=01/05/2022",Terceiros!$A$4:$A$1985,"&lt;01/06/2022")</f>
        <v>0</v>
      </c>
      <c r="L21" s="25" t="e">
        <f t="shared" si="4"/>
        <v>#DIV/0!</v>
      </c>
      <c r="M21" s="11">
        <f>SUMIFS(Terceiros!$D$4:$D$1985,Terceiros!$E$4:$E$1985,'Dados Terceiros'!$A21,Terceiros!$A$4:$A$1985,"&gt;=01/06/2022",Terceiros!$A$4:$A$1985,"&lt;01/07/2022")</f>
        <v>0</v>
      </c>
      <c r="N21" s="26" t="e">
        <f t="shared" si="5"/>
        <v>#DIV/0!</v>
      </c>
      <c r="O21" s="12">
        <f>SUMIFS(Terceiros!$D$4:$D$1985,Terceiros!$E$4:$E$1985,'Dados Terceiros'!$A21,Terceiros!$A$4:$A$1985,"&gt;=01/07/2022",Terceiros!$A$4:$A$1985,"&lt;01/08/2022")</f>
        <v>0</v>
      </c>
      <c r="P21" s="27" t="e">
        <f t="shared" si="6"/>
        <v>#DIV/0!</v>
      </c>
      <c r="Q21" s="13">
        <f>SUMIFS(Terceiros!$D$4:$D$1985,Terceiros!$E$4:$E$1985,'Dados Terceiros'!$A21,Terceiros!$A$4:$A$1985,"&gt;=01/08/2022",Terceiros!$A$4:$A$1985,"&lt;01/09/2022")</f>
        <v>0</v>
      </c>
      <c r="R21" s="28" t="e">
        <f t="shared" si="7"/>
        <v>#DIV/0!</v>
      </c>
      <c r="S21" s="14">
        <f>SUMIFS(Terceiros!$D$4:$D$1985,Terceiros!$E$4:$E$1985,'Dados Terceiros'!$A21,Terceiros!$A$4:$A$1985,"&gt;=01/09/2022",Terceiros!$A$4:$A$1985,"&lt;01/10/2022")</f>
        <v>0</v>
      </c>
      <c r="T21" s="29" t="e">
        <f t="shared" si="8"/>
        <v>#DIV/0!</v>
      </c>
      <c r="U21" s="15">
        <f>SUMIFS(Terceiros!$D$4:$D$1985,Terceiros!$E$4:$E$1985,'Dados Terceiros'!$A21,Terceiros!$A$4:$A$1985,"&gt;=01/10/2022",Terceiros!$A$4:$A$1985,"&lt;01/11/2022")</f>
        <v>0</v>
      </c>
      <c r="V21" s="30" t="e">
        <f t="shared" si="9"/>
        <v>#DIV/0!</v>
      </c>
      <c r="W21" s="16">
        <f>SUMIFS(Terceiros!$D$4:$D$1985,Terceiros!$E$4:$E$1985,'Dados Terceiros'!$A21,Terceiros!$A$4:$A$1985,"&gt;=01/11/2022",Terceiros!$A$4:$A$1985,"&lt;01/12/2022")</f>
        <v>0</v>
      </c>
      <c r="X21" s="31" t="e">
        <f t="shared" si="10"/>
        <v>#DIV/0!</v>
      </c>
      <c r="Y21" s="6">
        <f>SUMIFS(Terceiros!$D$4:$D$1985,Terceiros!$E$4:$E$1985,'Dados Terceiros'!$A21,Terceiros!$A$4:$A$1985,"&gt;=01/12/2022",Terceiros!$A$4:$A$1985,"&lt;=31/12/2022")</f>
        <v>0</v>
      </c>
      <c r="Z21" s="64" t="e">
        <f t="shared" si="11"/>
        <v>#DIV/0!</v>
      </c>
    </row>
    <row r="22" spans="1:26" ht="15.75" thickBot="1" x14ac:dyDescent="0.3">
      <c r="A22" s="20"/>
      <c r="B22" s="141"/>
      <c r="C22" s="137">
        <f>SUMIFS(Terceiros!$D$4:$D$1985,Terceiros!$E$4:$E$1985,'Dados Terceiros'!$A22,Terceiros!$A$4:$A$1985,"&gt;=01/01/2022",Terceiros!$A$4:$A$1985,"&lt;01/02/2022")</f>
        <v>0</v>
      </c>
      <c r="D22" s="66" t="e">
        <f t="shared" si="0"/>
        <v>#DIV/0!</v>
      </c>
      <c r="E22" s="67">
        <f>SUMIFS(Terceiros!$D$4:$D$1985,Terceiros!$E$4:$E$1985,'Dados Terceiros'!$A22,Terceiros!$A$4:$A$1985,"&gt;=01/02/2022",Terceiros!$A$4:$A$1985,"&lt;01/03/2022")</f>
        <v>0</v>
      </c>
      <c r="F22" s="68" t="e">
        <f>$E22/$AD$2</f>
        <v>#DIV/0!</v>
      </c>
      <c r="G22" s="69">
        <f>SUMIFS(Terceiros!$D$4:$D$1985,Terceiros!$E$4:$E$1985,'Dados Terceiros'!$A22,Terceiros!$A$4:$A$1985,"&gt;=01/03/2022",Terceiros!$A$4:$A$1985,"&lt;01/04/2022")</f>
        <v>0</v>
      </c>
      <c r="H22" s="70" t="e">
        <f t="shared" si="2"/>
        <v>#DIV/0!</v>
      </c>
      <c r="I22" s="71">
        <f>SUMIFS(Terceiros!$D$4:$D$1985,Terceiros!$E$4:$E$1985,'Dados Terceiros'!$A22,Terceiros!$A$4:$A$1985,"&gt;=01/04/2022",Terceiros!$A$4:$A$1985,"&lt;01/05/2022")</f>
        <v>0</v>
      </c>
      <c r="J22" s="72" t="e">
        <f t="shared" si="3"/>
        <v>#DIV/0!</v>
      </c>
      <c r="K22" s="73">
        <f>SUMIFS(Terceiros!$D$4:$D$1985,Terceiros!$E$4:$E$1985,'Dados Terceiros'!$A22,Terceiros!$A$4:$A$1985,"&gt;=01/05/2022",Terceiros!$A$4:$A$1985,"&lt;01/06/2022")</f>
        <v>0</v>
      </c>
      <c r="L22" s="74" t="e">
        <f t="shared" si="4"/>
        <v>#DIV/0!</v>
      </c>
      <c r="M22" s="75">
        <f>SUMIFS(Terceiros!$D$4:$D$1985,Terceiros!$E$4:$E$1985,'Dados Terceiros'!$A22,Terceiros!$A$4:$A$1985,"&gt;=01/06/2022",Terceiros!$A$4:$A$1985,"&lt;01/07/2022")</f>
        <v>0</v>
      </c>
      <c r="N22" s="76" t="e">
        <f t="shared" si="5"/>
        <v>#DIV/0!</v>
      </c>
      <c r="O22" s="77">
        <f>SUMIFS(Terceiros!$D$4:$D$1985,Terceiros!$E$4:$E$1985,'Dados Terceiros'!$A22,Terceiros!$A$4:$A$1985,"&gt;=01/07/2022",Terceiros!$A$4:$A$1985,"&lt;01/08/2022")</f>
        <v>0</v>
      </c>
      <c r="P22" s="78" t="e">
        <f t="shared" si="6"/>
        <v>#DIV/0!</v>
      </c>
      <c r="Q22" s="79">
        <f>SUMIFS(Terceiros!$D$4:$D$1985,Terceiros!$E$4:$E$1985,'Dados Terceiros'!$A22,Terceiros!$A$4:$A$1985,"&gt;=01/08/2022",Terceiros!$A$4:$A$1985,"&lt;01/09/2022")</f>
        <v>0</v>
      </c>
      <c r="R22" s="80" t="e">
        <f t="shared" si="7"/>
        <v>#DIV/0!</v>
      </c>
      <c r="S22" s="81">
        <f>SUMIFS(Terceiros!$D$4:$D$1985,Terceiros!$E$4:$E$1985,'Dados Terceiros'!$A22,Terceiros!$A$4:$A$1985,"&gt;=01/09/2022",Terceiros!$A$4:$A$1985,"&lt;01/10/2022")</f>
        <v>0</v>
      </c>
      <c r="T22" s="82" t="e">
        <f t="shared" si="8"/>
        <v>#DIV/0!</v>
      </c>
      <c r="U22" s="83">
        <f>SUMIFS(Terceiros!$D$4:$D$1985,Terceiros!$E$4:$E$1985,'Dados Terceiros'!$A22,Terceiros!$A$4:$A$1985,"&gt;=01/10/2022",Terceiros!$A$4:$A$1985,"&lt;01/11/2022")</f>
        <v>0</v>
      </c>
      <c r="V22" s="84" t="e">
        <f t="shared" si="9"/>
        <v>#DIV/0!</v>
      </c>
      <c r="W22" s="85">
        <f>SUMIFS(Terceiros!$D$4:$D$1985,Terceiros!$E$4:$E$1985,'Dados Terceiros'!$A22,Terceiros!$A$4:$A$1985,"&gt;=01/11/2022",Terceiros!$A$4:$A$1985,"&lt;01/12/2022")</f>
        <v>0</v>
      </c>
      <c r="X22" s="86" t="e">
        <f t="shared" si="10"/>
        <v>#DIV/0!</v>
      </c>
      <c r="Y22" s="87">
        <f>SUMIFS(Terceiros!$D$4:$D$1985,Terceiros!$E$4:$E$1985,'Dados Terceiros'!$A22,Terceiros!$A$4:$A$1985,"&gt;=01/12/2022",Terceiros!$A$4:$A$1985,"&lt;=31/12/2022")</f>
        <v>0</v>
      </c>
      <c r="Z22" s="88" t="e">
        <f t="shared" si="11"/>
        <v>#DIV/0!</v>
      </c>
    </row>
    <row r="1048576" spans="1:1" x14ac:dyDescent="0.25">
      <c r="A1048576" t="s">
        <v>27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>
    <tabColor rgb="FF92D050"/>
  </sheetPr>
  <dimension ref="A1"/>
  <sheetViews>
    <sheetView topLeftCell="A166" workbookViewId="0">
      <selection activeCell="M34" sqref="M3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">
    <tabColor rgb="FF92D050"/>
  </sheetPr>
  <dimension ref="A1"/>
  <sheetViews>
    <sheetView topLeftCell="A172" workbookViewId="0">
      <selection activeCell="S192" sqref="S19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9">
    <tabColor rgb="FF92D050"/>
  </sheetPr>
  <dimension ref="A1"/>
  <sheetViews>
    <sheetView workbookViewId="0">
      <selection activeCell="O175" sqref="O17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Linhas</vt:lpstr>
      <vt:lpstr>Fornecedores</vt:lpstr>
      <vt:lpstr>Terceiros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2022-10-06T12:32:08Z</dcterms:created>
  <dcterms:modified xsi:type="dcterms:W3CDTF">2023-10-11T19:34:04Z</dcterms:modified>
</cp:coreProperties>
</file>